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filterPrivacy="1"/>
  <xr:revisionPtr revIDLastSave="0" documentId="13_ncr:1_{D7403B0B-F6DA-7649-BA37-334C5D783A4D}" xr6:coauthVersionLast="45" xr6:coauthVersionMax="45" xr10:uidLastSave="{00000000-0000-0000-0000-000000000000}"/>
  <bookViews>
    <workbookView xWindow="25600" yWindow="0" windowWidth="27320" windowHeight="15360" xr2:uid="{00000000-000D-0000-FFFF-FFFF00000000}"/>
  </bookViews>
  <sheets>
    <sheet name="IPV4" sheetId="1" r:id="rId1"/>
    <sheet name="IPV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7" i="1" l="1"/>
  <c r="H37" i="1" s="1"/>
  <c r="J36" i="1"/>
  <c r="H36" i="1" s="1"/>
  <c r="J35" i="1"/>
  <c r="H35" i="1" s="1"/>
  <c r="J34" i="1"/>
  <c r="H34" i="1" s="1"/>
  <c r="J31" i="1"/>
  <c r="H31" i="1" s="1"/>
  <c r="J30" i="1"/>
  <c r="H30" i="1" s="1"/>
  <c r="J29" i="1"/>
  <c r="H29" i="1" s="1"/>
  <c r="J28" i="1"/>
  <c r="H28" i="1"/>
  <c r="J25" i="1"/>
  <c r="H25" i="1" s="1"/>
  <c r="J24" i="1"/>
  <c r="H24" i="1"/>
  <c r="J23" i="1"/>
  <c r="H23" i="1" s="1"/>
  <c r="J22" i="1"/>
  <c r="H22" i="1" s="1"/>
  <c r="J19" i="1"/>
  <c r="H19" i="1" s="1"/>
  <c r="J18" i="1"/>
  <c r="H18" i="1" s="1"/>
  <c r="J17" i="1"/>
  <c r="H17" i="1" s="1"/>
  <c r="J16" i="1"/>
  <c r="H16" i="1" s="1"/>
  <c r="J13" i="1"/>
  <c r="H13" i="1" s="1"/>
  <c r="J12" i="1"/>
  <c r="H12" i="1"/>
  <c r="J11" i="1"/>
  <c r="H11" i="1" s="1"/>
  <c r="J10" i="1"/>
  <c r="H10" i="1" s="1"/>
  <c r="H5" i="1"/>
  <c r="H6" i="1"/>
  <c r="H7" i="1"/>
  <c r="H4" i="1"/>
  <c r="J7" i="1"/>
  <c r="J6" i="1"/>
  <c r="J5" i="1"/>
  <c r="J4" i="1"/>
  <c r="K85" i="2" l="1"/>
  <c r="K83" i="2"/>
  <c r="K81" i="2"/>
  <c r="K79" i="2"/>
  <c r="K77" i="2"/>
  <c r="K75" i="2"/>
  <c r="K73" i="2"/>
  <c r="K71" i="2"/>
  <c r="K69" i="2"/>
  <c r="K67" i="2"/>
  <c r="K65" i="2"/>
  <c r="K63" i="2"/>
  <c r="K61" i="2"/>
  <c r="K59" i="2"/>
  <c r="K57" i="2"/>
  <c r="K55" i="2"/>
  <c r="K53" i="2"/>
  <c r="K51" i="2"/>
  <c r="K49" i="2"/>
  <c r="K47" i="2"/>
  <c r="K45" i="2"/>
  <c r="K43" i="2"/>
  <c r="K41" i="2"/>
  <c r="K39" i="2"/>
  <c r="K37" i="2"/>
  <c r="K35" i="2"/>
  <c r="K33" i="2"/>
  <c r="K31" i="2"/>
  <c r="K29" i="2"/>
  <c r="K27" i="2"/>
  <c r="K25" i="2"/>
  <c r="E25" i="2"/>
  <c r="K23" i="2"/>
  <c r="E23" i="2"/>
  <c r="K21" i="2"/>
  <c r="E21" i="2"/>
  <c r="K19" i="2"/>
  <c r="E19" i="2"/>
  <c r="K17" i="2"/>
  <c r="E17" i="2"/>
  <c r="K15" i="2"/>
  <c r="E15" i="2"/>
  <c r="K13" i="2"/>
  <c r="E13" i="2"/>
  <c r="K11" i="2"/>
  <c r="E11" i="2"/>
  <c r="K9" i="2"/>
  <c r="E9" i="2"/>
  <c r="K7" i="2"/>
  <c r="E7" i="2"/>
  <c r="K5" i="2"/>
  <c r="E5" i="2"/>
  <c r="K3" i="2"/>
  <c r="E3" i="2"/>
  <c r="F3" i="2" s="1"/>
  <c r="E26" i="2"/>
  <c r="K76" i="2"/>
  <c r="K80" i="2"/>
  <c r="K54" i="2"/>
  <c r="K68" i="2"/>
  <c r="K58" i="2"/>
  <c r="K6" i="2"/>
  <c r="K12" i="2"/>
  <c r="K18" i="2"/>
  <c r="E24" i="2"/>
  <c r="E12" i="2"/>
  <c r="E18" i="2"/>
  <c r="E22" i="2"/>
  <c r="K36" i="2"/>
  <c r="K56" i="2"/>
  <c r="K20" i="2"/>
  <c r="E20" i="2"/>
  <c r="K64" i="2"/>
  <c r="K74" i="2"/>
  <c r="K62" i="2"/>
  <c r="K84" i="2"/>
  <c r="K66" i="2"/>
  <c r="K10" i="2"/>
  <c r="K60" i="2"/>
  <c r="K72" i="2"/>
  <c r="K78" i="2"/>
  <c r="K82" i="2"/>
  <c r="K32" i="2"/>
  <c r="K38" i="2"/>
  <c r="K28" i="2"/>
  <c r="K42" i="2"/>
  <c r="K70" i="2"/>
  <c r="K24" i="2"/>
  <c r="K30" i="2"/>
  <c r="K4" i="2"/>
  <c r="K34" i="2"/>
  <c r="E6" i="2"/>
  <c r="K8" i="2"/>
  <c r="K40" i="2"/>
  <c r="K46" i="2"/>
  <c r="K52" i="2"/>
  <c r="K50" i="2"/>
  <c r="K16" i="2"/>
  <c r="K14" i="2"/>
  <c r="E8" i="2"/>
  <c r="E4" i="2"/>
  <c r="K86" i="2"/>
  <c r="E10" i="2"/>
  <c r="E14" i="2"/>
  <c r="K48" i="2"/>
  <c r="K22" i="2"/>
  <c r="K26" i="2"/>
  <c r="K44" i="2"/>
  <c r="E16" i="2"/>
  <c r="L6" i="2" l="1"/>
  <c r="L10" i="2"/>
  <c r="L24" i="2"/>
  <c r="L32" i="2"/>
  <c r="L40" i="2"/>
  <c r="L48" i="2"/>
  <c r="L56" i="2"/>
  <c r="L64" i="2"/>
  <c r="L72" i="2"/>
  <c r="L80" i="2"/>
  <c r="L8" i="2"/>
  <c r="L20" i="2"/>
  <c r="L36" i="2"/>
  <c r="L44" i="2"/>
  <c r="L60" i="2"/>
  <c r="L76" i="2"/>
  <c r="L14" i="2"/>
  <c r="L18" i="2"/>
  <c r="L26" i="2"/>
  <c r="L34" i="2"/>
  <c r="L42" i="2"/>
  <c r="L50" i="2"/>
  <c r="L58" i="2"/>
  <c r="L66" i="2"/>
  <c r="L74" i="2"/>
  <c r="L82" i="2"/>
  <c r="L28" i="2"/>
  <c r="L52" i="2"/>
  <c r="L68" i="2"/>
  <c r="L84" i="2"/>
  <c r="L16" i="2"/>
  <c r="L12" i="2"/>
  <c r="L22" i="2"/>
  <c r="L30" i="2"/>
  <c r="L38" i="2"/>
  <c r="L46" i="2"/>
  <c r="L54" i="2"/>
  <c r="L62" i="2"/>
  <c r="L70" i="2"/>
  <c r="L78" i="2"/>
  <c r="L86" i="2"/>
  <c r="L31" i="2"/>
  <c r="L39" i="2"/>
  <c r="L47" i="2"/>
  <c r="L55" i="2"/>
  <c r="L63" i="2"/>
  <c r="L71" i="2"/>
  <c r="L79" i="2"/>
  <c r="L5" i="2"/>
  <c r="L9" i="2"/>
  <c r="L13" i="2"/>
  <c r="L17" i="2"/>
  <c r="L21" i="2"/>
  <c r="L25" i="2"/>
  <c r="L33" i="2"/>
  <c r="L41" i="2"/>
  <c r="L49" i="2"/>
  <c r="L57" i="2"/>
  <c r="L65" i="2"/>
  <c r="L73" i="2"/>
  <c r="L81" i="2"/>
  <c r="L27" i="2"/>
  <c r="L35" i="2"/>
  <c r="L43" i="2"/>
  <c r="L51" i="2"/>
  <c r="L59" i="2"/>
  <c r="L67" i="2"/>
  <c r="L75" i="2"/>
  <c r="L83" i="2"/>
  <c r="L7" i="2"/>
  <c r="L11" i="2"/>
  <c r="L15" i="2"/>
  <c r="L19" i="2"/>
  <c r="L23" i="2"/>
  <c r="L29" i="2"/>
  <c r="L37" i="2"/>
  <c r="L45" i="2"/>
  <c r="L53" i="2"/>
  <c r="L61" i="2"/>
  <c r="L69" i="2"/>
  <c r="L77" i="2"/>
  <c r="L85" i="2"/>
  <c r="L4" i="2"/>
  <c r="L3" i="2"/>
  <c r="F12" i="2"/>
  <c r="F20" i="2"/>
  <c r="F8" i="2"/>
  <c r="F24" i="2"/>
  <c r="F6" i="2"/>
  <c r="F14" i="2"/>
  <c r="F22" i="2"/>
  <c r="F16" i="2"/>
  <c r="F10" i="2"/>
  <c r="F18" i="2"/>
  <c r="F26" i="2"/>
  <c r="F9" i="2"/>
  <c r="F21" i="2"/>
  <c r="F25" i="2"/>
  <c r="F5" i="2"/>
  <c r="F13" i="2"/>
  <c r="F7" i="2"/>
  <c r="F11" i="2"/>
  <c r="F19" i="2"/>
  <c r="F23" i="2"/>
  <c r="F17" i="2"/>
  <c r="F15" i="2"/>
  <c r="F4" i="2"/>
</calcChain>
</file>

<file path=xl/sharedStrings.xml><?xml version="1.0" encoding="utf-8"?>
<sst xmlns="http://schemas.openxmlformats.org/spreadsheetml/2006/main" count="323" uniqueCount="230">
  <si>
    <t>Edificio 1</t>
  </si>
  <si>
    <t>Piso 0</t>
  </si>
  <si>
    <t>Piso 1</t>
  </si>
  <si>
    <t>Piso 2</t>
  </si>
  <si>
    <t>Piso 3</t>
  </si>
  <si>
    <t>Piso 4</t>
  </si>
  <si>
    <t>Piso 5</t>
  </si>
  <si>
    <t>PC-0</t>
  </si>
  <si>
    <t>PC-1</t>
  </si>
  <si>
    <t>PC-2</t>
  </si>
  <si>
    <t>PC-3</t>
  </si>
  <si>
    <t>E1Switch-P0-A1</t>
  </si>
  <si>
    <t>E1Switch-P0-A3</t>
  </si>
  <si>
    <t>E1Switch-P1-A2</t>
  </si>
  <si>
    <t>E1Switch-P1-A4</t>
  </si>
  <si>
    <t>E1Switch-P2-A1</t>
  </si>
  <si>
    <t>E1Switch-P2-A2</t>
  </si>
  <si>
    <t>E1Switch-P3-A3</t>
  </si>
  <si>
    <t>E1Switch-P3-A4</t>
  </si>
  <si>
    <t>E1Switch-P4-A4</t>
  </si>
  <si>
    <t>E1Switch-P4-A1</t>
  </si>
  <si>
    <t>E1Switch-P5-A3</t>
  </si>
  <si>
    <t>E1Switch-P5-A2</t>
  </si>
  <si>
    <t>PC-4</t>
  </si>
  <si>
    <t>PC-5</t>
  </si>
  <si>
    <t>PC-6</t>
  </si>
  <si>
    <t>PC-7</t>
  </si>
  <si>
    <t>PC-8</t>
  </si>
  <si>
    <t>PC-9</t>
  </si>
  <si>
    <t>PC-10</t>
  </si>
  <si>
    <t>PC-11</t>
  </si>
  <si>
    <t>PC-12</t>
  </si>
  <si>
    <t>PC-13</t>
  </si>
  <si>
    <t>PC-14</t>
  </si>
  <si>
    <t>PC-15</t>
  </si>
  <si>
    <t>PC-16</t>
  </si>
  <si>
    <t>PC-17</t>
  </si>
  <si>
    <t>PC-18</t>
  </si>
  <si>
    <t>PC-19</t>
  </si>
  <si>
    <t>PC-20</t>
  </si>
  <si>
    <t>PC-21</t>
  </si>
  <si>
    <t>PC-22</t>
  </si>
  <si>
    <t>PC-23</t>
  </si>
  <si>
    <t>Edificio 2</t>
  </si>
  <si>
    <t>Piso 6</t>
  </si>
  <si>
    <t>Piso 7</t>
  </si>
  <si>
    <t>Piso 8</t>
  </si>
  <si>
    <t>Piso 9</t>
  </si>
  <si>
    <t>Piso 10</t>
  </si>
  <si>
    <t>Piso 11</t>
  </si>
  <si>
    <t>Piso 12</t>
  </si>
  <si>
    <t>Piso 13</t>
  </si>
  <si>
    <t>Piso 14</t>
  </si>
  <si>
    <t>Piso 15</t>
  </si>
  <si>
    <t>Piso 16</t>
  </si>
  <si>
    <t>Piso 17</t>
  </si>
  <si>
    <t>Piso 18</t>
  </si>
  <si>
    <t>Piso 19</t>
  </si>
  <si>
    <t>Piso 20</t>
  </si>
  <si>
    <t>PC-24</t>
  </si>
  <si>
    <t>PC-25</t>
  </si>
  <si>
    <t>PC-26</t>
  </si>
  <si>
    <t>PC-27</t>
  </si>
  <si>
    <t>PC-28</t>
  </si>
  <si>
    <t>PC-29</t>
  </si>
  <si>
    <t>PC-30</t>
  </si>
  <si>
    <t>PC-31</t>
  </si>
  <si>
    <t>PC-32</t>
  </si>
  <si>
    <t>PC-33</t>
  </si>
  <si>
    <t>PC-34</t>
  </si>
  <si>
    <t>PC-35</t>
  </si>
  <si>
    <t>PC-36</t>
  </si>
  <si>
    <t>PC-37</t>
  </si>
  <si>
    <t>PC-38</t>
  </si>
  <si>
    <t>PC-39</t>
  </si>
  <si>
    <t>PC-40</t>
  </si>
  <si>
    <t>PC-41</t>
  </si>
  <si>
    <t>PC-42</t>
  </si>
  <si>
    <t>PC-43</t>
  </si>
  <si>
    <t>PC-44</t>
  </si>
  <si>
    <t>PC-45</t>
  </si>
  <si>
    <t>PC-46</t>
  </si>
  <si>
    <t>PC-47</t>
  </si>
  <si>
    <t>PC-48</t>
  </si>
  <si>
    <t>PC-49</t>
  </si>
  <si>
    <t>PC-50</t>
  </si>
  <si>
    <t>PC-51</t>
  </si>
  <si>
    <t>PC-52</t>
  </si>
  <si>
    <t>PC-53</t>
  </si>
  <si>
    <t>PC-54</t>
  </si>
  <si>
    <t>PC-55</t>
  </si>
  <si>
    <t>PC-56</t>
  </si>
  <si>
    <t>PC-57</t>
  </si>
  <si>
    <t>PC-58</t>
  </si>
  <si>
    <t>PC-59</t>
  </si>
  <si>
    <t>PC-60</t>
  </si>
  <si>
    <t>PC-61</t>
  </si>
  <si>
    <t>PC-62</t>
  </si>
  <si>
    <t>PC-63</t>
  </si>
  <si>
    <t>PC-64</t>
  </si>
  <si>
    <t>PC-65</t>
  </si>
  <si>
    <t>PC-66</t>
  </si>
  <si>
    <t>PC-67</t>
  </si>
  <si>
    <t>PC-68</t>
  </si>
  <si>
    <t>PC-69</t>
  </si>
  <si>
    <t>PC-70</t>
  </si>
  <si>
    <t>PC-71</t>
  </si>
  <si>
    <t>PC-72</t>
  </si>
  <si>
    <t>PC-73</t>
  </si>
  <si>
    <t>PC-74</t>
  </si>
  <si>
    <t>PC-75</t>
  </si>
  <si>
    <t>PC-76</t>
  </si>
  <si>
    <t>PC-77</t>
  </si>
  <si>
    <t>PC-78</t>
  </si>
  <si>
    <t>PC-79</t>
  </si>
  <si>
    <t>PC-80</t>
  </si>
  <si>
    <t>PC-81</t>
  </si>
  <si>
    <t>PC-82</t>
  </si>
  <si>
    <t>PC-83</t>
  </si>
  <si>
    <t>PC-84</t>
  </si>
  <si>
    <t>PC-85</t>
  </si>
  <si>
    <t>PC-86</t>
  </si>
  <si>
    <t>PC-87</t>
  </si>
  <si>
    <t>PC-88</t>
  </si>
  <si>
    <t>PC-89</t>
  </si>
  <si>
    <t>PC-90</t>
  </si>
  <si>
    <t>PC-91</t>
  </si>
  <si>
    <t>PC-92</t>
  </si>
  <si>
    <t>PC-93</t>
  </si>
  <si>
    <t>PC-94</t>
  </si>
  <si>
    <t>PC-95</t>
  </si>
  <si>
    <t>PC-96</t>
  </si>
  <si>
    <t>PC-97</t>
  </si>
  <si>
    <t>PC-98</t>
  </si>
  <si>
    <t>PC-99</t>
  </si>
  <si>
    <t>PC-100</t>
  </si>
  <si>
    <t>PC-101</t>
  </si>
  <si>
    <t>PC-102</t>
  </si>
  <si>
    <t>PC-103</t>
  </si>
  <si>
    <t>PC-104</t>
  </si>
  <si>
    <t>PC-105</t>
  </si>
  <si>
    <t>PC-106</t>
  </si>
  <si>
    <t>E2Switch-P2-A1</t>
  </si>
  <si>
    <t>E2Switch-P5-A2</t>
  </si>
  <si>
    <t>E2Switch-P0-A1</t>
  </si>
  <si>
    <t>PC-107</t>
  </si>
  <si>
    <t>E2Switch-P0-A2</t>
  </si>
  <si>
    <t>E2Switch-P1-A1</t>
  </si>
  <si>
    <t>E2Switch-P3-A1</t>
  </si>
  <si>
    <t>E2Switch-P1-A3</t>
  </si>
  <si>
    <t>E2Switch-P2-A4</t>
  </si>
  <si>
    <t>E2Switch-P3-A2</t>
  </si>
  <si>
    <t>E2Switch-P4-A2</t>
  </si>
  <si>
    <t>E2Switch-P4-A3</t>
  </si>
  <si>
    <t>E2Switch-P5-A4</t>
  </si>
  <si>
    <t>E2Switch-P6-A3</t>
  </si>
  <si>
    <t>E2Switch-P6-A1</t>
  </si>
  <si>
    <t>Areas</t>
  </si>
  <si>
    <t>A1</t>
  </si>
  <si>
    <t>A2</t>
  </si>
  <si>
    <t>A3</t>
  </si>
  <si>
    <t>A4</t>
  </si>
  <si>
    <t>Atencion</t>
  </si>
  <si>
    <t>Contaduria</t>
  </si>
  <si>
    <t>Soporte</t>
  </si>
  <si>
    <t>Administracion</t>
  </si>
  <si>
    <t>E2Switch-P7-A3</t>
  </si>
  <si>
    <t>E2Switch-P7-A2</t>
  </si>
  <si>
    <t>E2Switch-P8-A3</t>
  </si>
  <si>
    <t>E2Switch-P8-A4</t>
  </si>
  <si>
    <t>E2Switch-P9-A4</t>
  </si>
  <si>
    <t>E2Switch-P9-A1</t>
  </si>
  <si>
    <t>E2Switch-P10-A4</t>
  </si>
  <si>
    <t>E2Switch-P10-A2</t>
  </si>
  <si>
    <t>E2Switch-P11-A4</t>
  </si>
  <si>
    <t>E2Switch-P11-A3</t>
  </si>
  <si>
    <t>E2Switch-P12-A2</t>
  </si>
  <si>
    <t>E2Switch-P12-A4</t>
  </si>
  <si>
    <t>E2Switch-P13-A1</t>
  </si>
  <si>
    <t>E2Switch-P13-A3</t>
  </si>
  <si>
    <t>E2Switch-P14-A1</t>
  </si>
  <si>
    <t>E2Switch-P14-A4</t>
  </si>
  <si>
    <t>E2Switch-P15-A1</t>
  </si>
  <si>
    <t>E2Switch-P15-A2</t>
  </si>
  <si>
    <t>E2Switch-P16-A3</t>
  </si>
  <si>
    <t>E2Switch-P16-A4</t>
  </si>
  <si>
    <t>E2Switch-P17-A4</t>
  </si>
  <si>
    <t>E2Switch-P17-A3</t>
  </si>
  <si>
    <t>E2Switch-P18-A2</t>
  </si>
  <si>
    <t>E2Switch-P18-A1</t>
  </si>
  <si>
    <t>E2Switch-P19-A3</t>
  </si>
  <si>
    <t>E2Switch-P20-A2</t>
  </si>
  <si>
    <t>E2Switch-P20-A1</t>
  </si>
  <si>
    <t>255.255.0.0</t>
  </si>
  <si>
    <t>E2Switch-P19A4</t>
  </si>
  <si>
    <t>2001:2::0</t>
  </si>
  <si>
    <t>2001:1::0</t>
  </si>
  <si>
    <t>2001:3::0</t>
  </si>
  <si>
    <t>2001:4::0</t>
  </si>
  <si>
    <t>/112</t>
  </si>
  <si>
    <t>RouterE1P0</t>
  </si>
  <si>
    <t>RouterE1P1</t>
  </si>
  <si>
    <t>RouterE1P2</t>
  </si>
  <si>
    <t>RouterE1P3</t>
  </si>
  <si>
    <t>RouterE1P4</t>
  </si>
  <si>
    <t>RouterE1P5</t>
  </si>
  <si>
    <t>gig7/0</t>
  </si>
  <si>
    <t>gig9/0</t>
  </si>
  <si>
    <t>gig8/0</t>
  </si>
  <si>
    <t>N/A</t>
  </si>
  <si>
    <t>172.0.0.1/16</t>
  </si>
  <si>
    <t>10.0.0.1/24</t>
  </si>
  <si>
    <t>IP</t>
  </si>
  <si>
    <t>Netmask</t>
  </si>
  <si>
    <t>Gateway</t>
  </si>
  <si>
    <t>172.1.0.1/16</t>
  </si>
  <si>
    <t>172.3.0.1/16</t>
  </si>
  <si>
    <t>10.0.0.2/24</t>
  </si>
  <si>
    <t>10.1.0.1/24</t>
  </si>
  <si>
    <t>172.2.0.1/16</t>
  </si>
  <si>
    <t>172.4.0.1/16</t>
  </si>
  <si>
    <t>172.5.0.1/16</t>
  </si>
  <si>
    <t>10.1.0.2/24</t>
  </si>
  <si>
    <t>10.2.0.1/24</t>
  </si>
  <si>
    <t>10.2.0.2/24</t>
  </si>
  <si>
    <t>10.3.0.1/24</t>
  </si>
  <si>
    <t>10.4.0.1/24</t>
  </si>
  <si>
    <t>10.3.0.2/24</t>
  </si>
  <si>
    <t>10.5.0.1/24</t>
  </si>
  <si>
    <t>10.4.0.2/24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</si>
</sst>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sz val="8"/>
      <name val="Calibri"/>
      <family val="2"/>
      <scheme val="minor"/>
    </font>
    <font>
      <b/>
      <sz val="14"/>
      <color rgb="FFFF0000"/>
      <name val="Arial"/>
      <family val="2"/>
    </font>
    <font>
      <b/>
      <sz val="18"/>
      <color theme="1"/>
      <name val="Arial"/>
      <family val="2"/>
    </font>
    <font>
      <i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0" xfId="0" applyFont="1"/>
    <xf numFmtId="0" fontId="4" fillId="0" borderId="1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J39"/>
  <sheetViews>
    <sheetView tabSelected="1" topLeftCell="A15" zoomScaleNormal="100" zoomScaleSheetLayoutView="80" workbookViewId="0">
      <selection activeCell="E25" sqref="E25:E26"/>
    </sheetView>
  </sheetViews>
  <sheetFormatPr baseColWidth="10" defaultColWidth="9.1640625" defaultRowHeight="16" x14ac:dyDescent="0.2"/>
  <cols>
    <col min="1" max="1" width="9.1640625" style="1"/>
    <col min="2" max="2" width="9" style="1" bestFit="1" customWidth="1"/>
    <col min="3" max="3" width="14" style="1" bestFit="1" customWidth="1"/>
    <col min="4" max="4" width="8.1640625" style="1" bestFit="1" customWidth="1"/>
    <col min="5" max="5" width="14.5" style="1" bestFit="1" customWidth="1"/>
    <col min="6" max="6" width="2.5" style="1" bestFit="1" customWidth="1"/>
    <col min="7" max="7" width="8.5" style="1" bestFit="1" customWidth="1"/>
    <col min="8" max="8" width="11.1640625" style="1" bestFit="1" customWidth="1"/>
    <col min="9" max="9" width="13.83203125" style="1" bestFit="1" customWidth="1"/>
    <col min="10" max="10" width="11.1640625" style="1" bestFit="1" customWidth="1"/>
    <col min="11" max="16384" width="9.1640625" style="1"/>
  </cols>
  <sheetData>
    <row r="1" spans="2:10" ht="17" thickBot="1" x14ac:dyDescent="0.25"/>
    <row r="2" spans="2:10" ht="25" thickTop="1" thickBot="1" x14ac:dyDescent="0.25">
      <c r="B2" s="34" t="s">
        <v>0</v>
      </c>
      <c r="C2" s="35"/>
      <c r="D2" s="35"/>
      <c r="E2" s="35"/>
      <c r="F2" s="35"/>
      <c r="G2" s="35"/>
      <c r="H2" s="35"/>
      <c r="I2" s="35"/>
      <c r="J2" s="36"/>
    </row>
    <row r="3" spans="2:10" ht="18" customHeight="1" thickTop="1" x14ac:dyDescent="0.2">
      <c r="B3" s="22" t="s">
        <v>1</v>
      </c>
      <c r="C3" s="23" t="s">
        <v>200</v>
      </c>
      <c r="D3" s="24" t="s">
        <v>207</v>
      </c>
      <c r="E3" s="53" t="s">
        <v>211</v>
      </c>
      <c r="F3" s="45"/>
      <c r="G3" s="37"/>
      <c r="H3" s="40" t="s">
        <v>212</v>
      </c>
      <c r="I3" s="40" t="s">
        <v>213</v>
      </c>
      <c r="J3" s="41" t="s">
        <v>214</v>
      </c>
    </row>
    <row r="4" spans="2:10" ht="18" customHeight="1" x14ac:dyDescent="0.2">
      <c r="B4" s="26"/>
      <c r="C4" s="27"/>
      <c r="D4" s="28"/>
      <c r="E4" s="54"/>
      <c r="F4" s="51">
        <v>1</v>
      </c>
      <c r="G4" s="44" t="s">
        <v>7</v>
      </c>
      <c r="H4" s="42" t="str">
        <f>_xlfn.CONCAT(MID(J4,1,FIND(".1",J4,7) ), RIGHT(J4,1) + F4)</f>
        <v>172.0.0.2</v>
      </c>
      <c r="I4" s="42" t="s">
        <v>193</v>
      </c>
      <c r="J4" s="43" t="str">
        <f>MID(E5,1,FIND("/",E5) - 1)</f>
        <v>172.0.0.1</v>
      </c>
    </row>
    <row r="5" spans="2:10" ht="18" customHeight="1" x14ac:dyDescent="0.2">
      <c r="B5" s="26"/>
      <c r="C5" s="27"/>
      <c r="D5" s="28" t="s">
        <v>208</v>
      </c>
      <c r="E5" s="29" t="s">
        <v>210</v>
      </c>
      <c r="F5" s="48">
        <v>2</v>
      </c>
      <c r="G5" s="44" t="s">
        <v>8</v>
      </c>
      <c r="H5" s="49" t="str">
        <f t="shared" ref="H5:H7" si="0">_xlfn.CONCAT(MID(J5,1,FIND(".1",J5,7) ), RIGHT(J5,1) + F5)</f>
        <v>172.0.0.3</v>
      </c>
      <c r="I5" s="49" t="s">
        <v>193</v>
      </c>
      <c r="J5" s="50" t="str">
        <f>MID(E5,1,FIND("/",E5) - 1)</f>
        <v>172.0.0.1</v>
      </c>
    </row>
    <row r="6" spans="2:10" ht="18" customHeight="1" x14ac:dyDescent="0.2">
      <c r="B6" s="26"/>
      <c r="C6" s="27"/>
      <c r="D6" s="28"/>
      <c r="E6" s="29"/>
      <c r="F6" s="51">
        <v>3</v>
      </c>
      <c r="G6" s="44" t="s">
        <v>9</v>
      </c>
      <c r="H6" s="42" t="str">
        <f t="shared" si="0"/>
        <v>172.0.0.4</v>
      </c>
      <c r="I6" s="42" t="s">
        <v>193</v>
      </c>
      <c r="J6" s="43" t="str">
        <f>MID(E5,1,FIND("/",E5) - 1)</f>
        <v>172.0.0.1</v>
      </c>
    </row>
    <row r="7" spans="2:10" ht="18" customHeight="1" x14ac:dyDescent="0.2">
      <c r="B7" s="26"/>
      <c r="C7" s="27"/>
      <c r="D7" s="28" t="s">
        <v>206</v>
      </c>
      <c r="E7" s="29" t="s">
        <v>209</v>
      </c>
      <c r="F7" s="47">
        <v>4</v>
      </c>
      <c r="G7" s="44" t="s">
        <v>10</v>
      </c>
      <c r="H7" s="49" t="str">
        <f t="shared" si="0"/>
        <v>172.0.0.5</v>
      </c>
      <c r="I7" s="49" t="s">
        <v>193</v>
      </c>
      <c r="J7" s="50" t="str">
        <f>MID(E5,1,FIND("/",E5) - 1)</f>
        <v>172.0.0.1</v>
      </c>
    </row>
    <row r="8" spans="2:10" ht="18" customHeight="1" thickBot="1" x14ac:dyDescent="0.25">
      <c r="B8" s="30"/>
      <c r="C8" s="31"/>
      <c r="D8" s="32"/>
      <c r="E8" s="33"/>
      <c r="F8" s="46"/>
      <c r="G8" s="38"/>
      <c r="H8" s="38"/>
      <c r="I8" s="38"/>
      <c r="J8" s="39"/>
    </row>
    <row r="9" spans="2:10" ht="19" thickTop="1" x14ac:dyDescent="0.2">
      <c r="B9" s="22" t="s">
        <v>2</v>
      </c>
      <c r="C9" s="23" t="s">
        <v>201</v>
      </c>
      <c r="D9" s="24" t="s">
        <v>207</v>
      </c>
      <c r="E9" s="53" t="s">
        <v>218</v>
      </c>
      <c r="F9" s="45"/>
      <c r="G9" s="37"/>
      <c r="H9" s="40" t="s">
        <v>212</v>
      </c>
      <c r="I9" s="40" t="s">
        <v>213</v>
      </c>
      <c r="J9" s="41" t="s">
        <v>214</v>
      </c>
    </row>
    <row r="10" spans="2:10" ht="18" x14ac:dyDescent="0.2">
      <c r="B10" s="26"/>
      <c r="C10" s="27"/>
      <c r="D10" s="28"/>
      <c r="E10" s="54"/>
      <c r="F10" s="51">
        <v>1</v>
      </c>
      <c r="G10" s="44" t="s">
        <v>23</v>
      </c>
      <c r="H10" s="42" t="str">
        <f>_xlfn.CONCAT(MID(J10,1,FIND(".1",J10,7) ), RIGHT(J10,1) + F10)</f>
        <v>172.1.0.2</v>
      </c>
      <c r="I10" s="42" t="s">
        <v>193</v>
      </c>
      <c r="J10" s="43" t="str">
        <f>MID(E11,1,FIND("/",E11) - 1)</f>
        <v>172.1.0.1</v>
      </c>
    </row>
    <row r="11" spans="2:10" ht="18" x14ac:dyDescent="0.2">
      <c r="B11" s="26"/>
      <c r="C11" s="27"/>
      <c r="D11" s="28" t="s">
        <v>208</v>
      </c>
      <c r="E11" s="29" t="s">
        <v>215</v>
      </c>
      <c r="F11" s="48">
        <v>2</v>
      </c>
      <c r="G11" s="44" t="s">
        <v>24</v>
      </c>
      <c r="H11" s="49" t="str">
        <f t="shared" ref="H11:H13" si="1">_xlfn.CONCAT(MID(J11,1,FIND(".1",J11,7) ), RIGHT(J11,1) + F11)</f>
        <v>172.1.0.3</v>
      </c>
      <c r="I11" s="49" t="s">
        <v>193</v>
      </c>
      <c r="J11" s="50" t="str">
        <f>MID(E11,1,FIND("/",E11) - 1)</f>
        <v>172.1.0.1</v>
      </c>
    </row>
    <row r="12" spans="2:10" ht="18" x14ac:dyDescent="0.2">
      <c r="B12" s="26"/>
      <c r="C12" s="27"/>
      <c r="D12" s="28"/>
      <c r="E12" s="29"/>
      <c r="F12" s="51">
        <v>3</v>
      </c>
      <c r="G12" s="44" t="s">
        <v>25</v>
      </c>
      <c r="H12" s="42" t="str">
        <f t="shared" si="1"/>
        <v>172.1.0.4</v>
      </c>
      <c r="I12" s="42" t="s">
        <v>193</v>
      </c>
      <c r="J12" s="43" t="str">
        <f>MID(E11,1,FIND("/",E11) - 1)</f>
        <v>172.1.0.1</v>
      </c>
    </row>
    <row r="13" spans="2:10" ht="18" x14ac:dyDescent="0.2">
      <c r="B13" s="26"/>
      <c r="C13" s="27"/>
      <c r="D13" s="28" t="s">
        <v>206</v>
      </c>
      <c r="E13" s="55" t="s">
        <v>217</v>
      </c>
      <c r="F13" s="47">
        <v>4</v>
      </c>
      <c r="G13" s="44" t="s">
        <v>26</v>
      </c>
      <c r="H13" s="49" t="str">
        <f t="shared" si="1"/>
        <v>172.1.0.5</v>
      </c>
      <c r="I13" s="49" t="s">
        <v>193</v>
      </c>
      <c r="J13" s="50" t="str">
        <f>MID(E11,1,FIND("/",E11) - 1)</f>
        <v>172.1.0.1</v>
      </c>
    </row>
    <row r="14" spans="2:10" ht="19" thickBot="1" x14ac:dyDescent="0.25">
      <c r="B14" s="30"/>
      <c r="C14" s="31"/>
      <c r="D14" s="32"/>
      <c r="E14" s="56"/>
      <c r="F14" s="46"/>
      <c r="G14" s="38"/>
      <c r="H14" s="38"/>
      <c r="I14" s="38"/>
      <c r="J14" s="39"/>
    </row>
    <row r="15" spans="2:10" ht="19" thickTop="1" x14ac:dyDescent="0.2">
      <c r="B15" s="22" t="s">
        <v>3</v>
      </c>
      <c r="C15" s="23" t="s">
        <v>202</v>
      </c>
      <c r="D15" s="24" t="s">
        <v>207</v>
      </c>
      <c r="E15" s="25" t="s">
        <v>223</v>
      </c>
      <c r="F15" s="45"/>
      <c r="G15" s="37"/>
      <c r="H15" s="40" t="s">
        <v>212</v>
      </c>
      <c r="I15" s="40" t="s">
        <v>213</v>
      </c>
      <c r="J15" s="41" t="s">
        <v>214</v>
      </c>
    </row>
    <row r="16" spans="2:10" ht="18" x14ac:dyDescent="0.2">
      <c r="B16" s="26"/>
      <c r="C16" s="27"/>
      <c r="D16" s="28"/>
      <c r="E16" s="29"/>
      <c r="F16" s="51">
        <v>1</v>
      </c>
      <c r="G16" s="44" t="s">
        <v>23</v>
      </c>
      <c r="H16" s="42" t="str">
        <f>_xlfn.CONCAT(MID(J16,1,FIND(".1",J16,7) ), RIGHT(J16,1) + F16)</f>
        <v>172.2.0.2</v>
      </c>
      <c r="I16" s="42" t="s">
        <v>193</v>
      </c>
      <c r="J16" s="43" t="str">
        <f>MID(E17,1,FIND("/",E17) - 1)</f>
        <v>172.2.0.1</v>
      </c>
    </row>
    <row r="17" spans="2:10" ht="18" x14ac:dyDescent="0.2">
      <c r="B17" s="26"/>
      <c r="C17" s="27"/>
      <c r="D17" s="28" t="s">
        <v>208</v>
      </c>
      <c r="E17" s="29" t="s">
        <v>219</v>
      </c>
      <c r="F17" s="48">
        <v>2</v>
      </c>
      <c r="G17" s="44" t="s">
        <v>24</v>
      </c>
      <c r="H17" s="49" t="str">
        <f t="shared" ref="H17:H19" si="2">_xlfn.CONCAT(MID(J17,1,FIND(".1",J17,7) ), RIGHT(J17,1) + F17)</f>
        <v>172.2.0.3</v>
      </c>
      <c r="I17" s="49" t="s">
        <v>193</v>
      </c>
      <c r="J17" s="50" t="str">
        <f>MID(E17,1,FIND("/",E17) - 1)</f>
        <v>172.2.0.1</v>
      </c>
    </row>
    <row r="18" spans="2:10" ht="18" x14ac:dyDescent="0.2">
      <c r="B18" s="26"/>
      <c r="C18" s="27"/>
      <c r="D18" s="28"/>
      <c r="E18" s="29"/>
      <c r="F18" s="51">
        <v>3</v>
      </c>
      <c r="G18" s="44" t="s">
        <v>25</v>
      </c>
      <c r="H18" s="42" t="str">
        <f t="shared" si="2"/>
        <v>172.2.0.4</v>
      </c>
      <c r="I18" s="42" t="s">
        <v>193</v>
      </c>
      <c r="J18" s="43" t="str">
        <f>MID(E17,1,FIND("/",E17) - 1)</f>
        <v>172.2.0.1</v>
      </c>
    </row>
    <row r="19" spans="2:10" ht="18" x14ac:dyDescent="0.2">
      <c r="B19" s="26"/>
      <c r="C19" s="27"/>
      <c r="D19" s="28" t="s">
        <v>206</v>
      </c>
      <c r="E19" s="21" t="s">
        <v>222</v>
      </c>
      <c r="F19" s="47">
        <v>4</v>
      </c>
      <c r="G19" s="44" t="s">
        <v>26</v>
      </c>
      <c r="H19" s="49" t="str">
        <f t="shared" si="2"/>
        <v>172.2.0.5</v>
      </c>
      <c r="I19" s="49" t="s">
        <v>193</v>
      </c>
      <c r="J19" s="50" t="str">
        <f>MID(E17,1,FIND("/",E17) - 1)</f>
        <v>172.2.0.1</v>
      </c>
    </row>
    <row r="20" spans="2:10" ht="19" thickBot="1" x14ac:dyDescent="0.25">
      <c r="B20" s="30"/>
      <c r="C20" s="31"/>
      <c r="D20" s="32"/>
      <c r="E20" s="52"/>
      <c r="F20" s="46"/>
      <c r="G20" s="38"/>
      <c r="H20" s="38"/>
      <c r="I20" s="38"/>
      <c r="J20" s="39"/>
    </row>
    <row r="21" spans="2:10" ht="19" thickTop="1" x14ac:dyDescent="0.2">
      <c r="B21" s="22" t="s">
        <v>4</v>
      </c>
      <c r="C21" s="23" t="s">
        <v>203</v>
      </c>
      <c r="D21" s="24" t="s">
        <v>207</v>
      </c>
      <c r="E21" s="25" t="s">
        <v>225</v>
      </c>
      <c r="F21" s="45"/>
      <c r="G21" s="37"/>
      <c r="H21" s="40" t="s">
        <v>212</v>
      </c>
      <c r="I21" s="40" t="s">
        <v>213</v>
      </c>
      <c r="J21" s="41" t="s">
        <v>214</v>
      </c>
    </row>
    <row r="22" spans="2:10" ht="18" x14ac:dyDescent="0.2">
      <c r="B22" s="26"/>
      <c r="C22" s="27"/>
      <c r="D22" s="28"/>
      <c r="E22" s="29"/>
      <c r="F22" s="51">
        <v>1</v>
      </c>
      <c r="G22" s="44" t="s">
        <v>26</v>
      </c>
      <c r="H22" s="42" t="str">
        <f>_xlfn.CONCAT(MID(J22,1,FIND(".1",J22,7) ), RIGHT(J22,1) + F22)</f>
        <v>172.3.0.2</v>
      </c>
      <c r="I22" s="42" t="s">
        <v>193</v>
      </c>
      <c r="J22" s="43" t="str">
        <f>MID(E23,1,FIND("/",E23) - 1)</f>
        <v>172.3.0.1</v>
      </c>
    </row>
    <row r="23" spans="2:10" ht="18" x14ac:dyDescent="0.2">
      <c r="B23" s="26"/>
      <c r="C23" s="27"/>
      <c r="D23" s="28" t="s">
        <v>208</v>
      </c>
      <c r="E23" s="29" t="s">
        <v>216</v>
      </c>
      <c r="F23" s="48">
        <v>2</v>
      </c>
      <c r="G23" s="44" t="s">
        <v>27</v>
      </c>
      <c r="H23" s="49" t="str">
        <f t="shared" ref="H23:H25" si="3">_xlfn.CONCAT(MID(J23,1,FIND(".1",J23,7) ), RIGHT(J23,1) + F23)</f>
        <v>172.3.0.3</v>
      </c>
      <c r="I23" s="49" t="s">
        <v>193</v>
      </c>
      <c r="J23" s="50" t="str">
        <f>MID(E23,1,FIND("/",E23) - 1)</f>
        <v>172.3.0.1</v>
      </c>
    </row>
    <row r="24" spans="2:10" ht="18" x14ac:dyDescent="0.2">
      <c r="B24" s="26"/>
      <c r="C24" s="27"/>
      <c r="D24" s="28"/>
      <c r="E24" s="29"/>
      <c r="F24" s="51">
        <v>3</v>
      </c>
      <c r="G24" s="44" t="s">
        <v>28</v>
      </c>
      <c r="H24" s="42" t="str">
        <f t="shared" si="3"/>
        <v>172.3.0.4</v>
      </c>
      <c r="I24" s="42" t="s">
        <v>193</v>
      </c>
      <c r="J24" s="43" t="str">
        <f>MID(E23,1,FIND("/",E23) - 1)</f>
        <v>172.3.0.1</v>
      </c>
    </row>
    <row r="25" spans="2:10" ht="18" x14ac:dyDescent="0.2">
      <c r="B25" s="26"/>
      <c r="C25" s="27"/>
      <c r="D25" s="28" t="s">
        <v>206</v>
      </c>
      <c r="E25" s="21" t="s">
        <v>224</v>
      </c>
      <c r="F25" s="47">
        <v>4</v>
      </c>
      <c r="G25" s="44" t="s">
        <v>29</v>
      </c>
      <c r="H25" s="49" t="str">
        <f t="shared" si="3"/>
        <v>172.3.0.5</v>
      </c>
      <c r="I25" s="49" t="s">
        <v>193</v>
      </c>
      <c r="J25" s="50" t="str">
        <f>MID(E23,1,FIND("/",E23) - 1)</f>
        <v>172.3.0.1</v>
      </c>
    </row>
    <row r="26" spans="2:10" ht="19" thickBot="1" x14ac:dyDescent="0.25">
      <c r="B26" s="30"/>
      <c r="C26" s="31"/>
      <c r="D26" s="32"/>
      <c r="E26" s="52"/>
      <c r="F26" s="46"/>
      <c r="G26" s="38"/>
      <c r="H26" s="38"/>
      <c r="I26" s="38"/>
      <c r="J26" s="39"/>
    </row>
    <row r="27" spans="2:10" ht="19" thickTop="1" x14ac:dyDescent="0.2">
      <c r="B27" s="22" t="s">
        <v>5</v>
      </c>
      <c r="C27" s="23" t="s">
        <v>204</v>
      </c>
      <c r="D27" s="24" t="s">
        <v>207</v>
      </c>
      <c r="E27" s="25" t="s">
        <v>226</v>
      </c>
      <c r="F27" s="45"/>
      <c r="G27" s="37"/>
      <c r="H27" s="40" t="s">
        <v>212</v>
      </c>
      <c r="I27" s="40" t="s">
        <v>213</v>
      </c>
      <c r="J27" s="41" t="s">
        <v>214</v>
      </c>
    </row>
    <row r="28" spans="2:10" ht="18" x14ac:dyDescent="0.2">
      <c r="B28" s="26"/>
      <c r="C28" s="27"/>
      <c r="D28" s="28"/>
      <c r="E28" s="29"/>
      <c r="F28" s="51">
        <v>1</v>
      </c>
      <c r="G28" s="44" t="s">
        <v>30</v>
      </c>
      <c r="H28" s="42" t="str">
        <f>_xlfn.CONCAT(MID(J28,1,FIND(".1",J28,7) ), RIGHT(J28,1) + F28)</f>
        <v>172.4.0.2</v>
      </c>
      <c r="I28" s="42" t="s">
        <v>193</v>
      </c>
      <c r="J28" s="43" t="str">
        <f>MID(E29,1,FIND("/",E29) - 1)</f>
        <v>172.4.0.1</v>
      </c>
    </row>
    <row r="29" spans="2:10" ht="18" x14ac:dyDescent="0.2">
      <c r="B29" s="26"/>
      <c r="C29" s="27"/>
      <c r="D29" s="28" t="s">
        <v>208</v>
      </c>
      <c r="E29" s="29" t="s">
        <v>220</v>
      </c>
      <c r="F29" s="48">
        <v>2</v>
      </c>
      <c r="G29" s="44" t="s">
        <v>31</v>
      </c>
      <c r="H29" s="49" t="str">
        <f t="shared" ref="H29:H31" si="4">_xlfn.CONCAT(MID(J29,1,FIND(".1",J29,7) ), RIGHT(J29,1) + F29)</f>
        <v>172.4.0.3</v>
      </c>
      <c r="I29" s="49" t="s">
        <v>193</v>
      </c>
      <c r="J29" s="50" t="str">
        <f>MID(E29,1,FIND("/",E29) - 1)</f>
        <v>172.4.0.1</v>
      </c>
    </row>
    <row r="30" spans="2:10" ht="18" x14ac:dyDescent="0.2">
      <c r="B30" s="26"/>
      <c r="C30" s="27"/>
      <c r="D30" s="28"/>
      <c r="E30" s="29"/>
      <c r="F30" s="51">
        <v>3</v>
      </c>
      <c r="G30" s="44" t="s">
        <v>32</v>
      </c>
      <c r="H30" s="42" t="str">
        <f t="shared" si="4"/>
        <v>172.4.0.4</v>
      </c>
      <c r="I30" s="42" t="s">
        <v>193</v>
      </c>
      <c r="J30" s="43" t="str">
        <f>MID(E29,1,FIND("/",E29) - 1)</f>
        <v>172.4.0.1</v>
      </c>
    </row>
    <row r="31" spans="2:10" ht="18" x14ac:dyDescent="0.2">
      <c r="B31" s="26"/>
      <c r="C31" s="27"/>
      <c r="D31" s="28" t="s">
        <v>206</v>
      </c>
      <c r="E31" s="21" t="s">
        <v>227</v>
      </c>
      <c r="F31" s="47">
        <v>4</v>
      </c>
      <c r="G31" s="44" t="s">
        <v>33</v>
      </c>
      <c r="H31" s="49" t="str">
        <f t="shared" si="4"/>
        <v>172.4.0.5</v>
      </c>
      <c r="I31" s="49" t="s">
        <v>193</v>
      </c>
      <c r="J31" s="50" t="str">
        <f>MID(E29,1,FIND("/",E29) - 1)</f>
        <v>172.4.0.1</v>
      </c>
    </row>
    <row r="32" spans="2:10" ht="19" thickBot="1" x14ac:dyDescent="0.25">
      <c r="B32" s="30"/>
      <c r="C32" s="31"/>
      <c r="D32" s="32"/>
      <c r="E32" s="52"/>
      <c r="F32" s="46"/>
      <c r="G32" s="38"/>
      <c r="H32" s="38"/>
      <c r="I32" s="38"/>
      <c r="J32" s="39"/>
    </row>
    <row r="33" spans="2:10" ht="19" thickTop="1" x14ac:dyDescent="0.2">
      <c r="B33" s="22" t="s">
        <v>6</v>
      </c>
      <c r="C33" s="23" t="s">
        <v>205</v>
      </c>
      <c r="D33" s="24" t="s">
        <v>207</v>
      </c>
      <c r="E33" s="25" t="s">
        <v>228</v>
      </c>
      <c r="F33" s="45"/>
      <c r="G33" s="37"/>
      <c r="H33" s="40" t="s">
        <v>212</v>
      </c>
      <c r="I33" s="40" t="s">
        <v>213</v>
      </c>
      <c r="J33" s="41" t="s">
        <v>214</v>
      </c>
    </row>
    <row r="34" spans="2:10" ht="18" x14ac:dyDescent="0.2">
      <c r="B34" s="26"/>
      <c r="C34" s="27"/>
      <c r="D34" s="28"/>
      <c r="E34" s="29"/>
      <c r="F34" s="51">
        <v>1</v>
      </c>
      <c r="G34" s="44" t="s">
        <v>34</v>
      </c>
      <c r="H34" s="42" t="str">
        <f>_xlfn.CONCAT(MID(J34,1,FIND(".1",J34,7) ), RIGHT(J34,1) + F34)</f>
        <v>172.5.0.2</v>
      </c>
      <c r="I34" s="42" t="s">
        <v>193</v>
      </c>
      <c r="J34" s="43" t="str">
        <f>MID(E35,1,FIND("/",E35) - 1)</f>
        <v>172.5.0.1</v>
      </c>
    </row>
    <row r="35" spans="2:10" ht="18" x14ac:dyDescent="0.2">
      <c r="B35" s="26"/>
      <c r="C35" s="27"/>
      <c r="D35" s="28" t="s">
        <v>208</v>
      </c>
      <c r="E35" s="29" t="s">
        <v>221</v>
      </c>
      <c r="F35" s="48">
        <v>2</v>
      </c>
      <c r="G35" s="44" t="s">
        <v>35</v>
      </c>
      <c r="H35" s="49" t="str">
        <f t="shared" ref="H35:H37" si="5">_xlfn.CONCAT(MID(J35,1,FIND(".1",J35,7) ), RIGHT(J35,1) + F35)</f>
        <v>172.5.0.3</v>
      </c>
      <c r="I35" s="49" t="s">
        <v>193</v>
      </c>
      <c r="J35" s="50" t="str">
        <f>MID(E35,1,FIND("/",E35) - 1)</f>
        <v>172.5.0.1</v>
      </c>
    </row>
    <row r="36" spans="2:10" ht="18" x14ac:dyDescent="0.2">
      <c r="B36" s="26"/>
      <c r="C36" s="27"/>
      <c r="D36" s="28"/>
      <c r="E36" s="29"/>
      <c r="F36" s="51">
        <v>3</v>
      </c>
      <c r="G36" s="44" t="s">
        <v>36</v>
      </c>
      <c r="H36" s="42" t="str">
        <f t="shared" si="5"/>
        <v>172.5.0.4</v>
      </c>
      <c r="I36" s="42" t="s">
        <v>193</v>
      </c>
      <c r="J36" s="43" t="str">
        <f>MID(E35,1,FIND("/",E35) - 1)</f>
        <v>172.5.0.1</v>
      </c>
    </row>
    <row r="37" spans="2:10" ht="18" x14ac:dyDescent="0.2">
      <c r="B37" s="26"/>
      <c r="C37" s="27"/>
      <c r="D37" s="28" t="s">
        <v>206</v>
      </c>
      <c r="E37" s="21" t="s">
        <v>229</v>
      </c>
      <c r="F37" s="47">
        <v>4</v>
      </c>
      <c r="G37" s="44" t="s">
        <v>37</v>
      </c>
      <c r="H37" s="49" t="str">
        <f t="shared" si="5"/>
        <v>172.5.0.5</v>
      </c>
      <c r="I37" s="49" t="s">
        <v>193</v>
      </c>
      <c r="J37" s="50" t="str">
        <f>MID(E35,1,FIND("/",E35) - 1)</f>
        <v>172.5.0.1</v>
      </c>
    </row>
    <row r="38" spans="2:10" ht="19" thickBot="1" x14ac:dyDescent="0.25">
      <c r="B38" s="30"/>
      <c r="C38" s="31"/>
      <c r="D38" s="32"/>
      <c r="E38" s="52"/>
      <c r="F38" s="46"/>
      <c r="G38" s="38"/>
      <c r="H38" s="38"/>
      <c r="I38" s="38"/>
      <c r="J38" s="39"/>
    </row>
    <row r="39" spans="2:10" ht="17" thickTop="1" x14ac:dyDescent="0.2"/>
  </sheetData>
  <mergeCells count="49">
    <mergeCell ref="B33:B38"/>
    <mergeCell ref="C33:C38"/>
    <mergeCell ref="D33:D34"/>
    <mergeCell ref="E33:E34"/>
    <mergeCell ref="D35:D36"/>
    <mergeCell ref="E35:E36"/>
    <mergeCell ref="D37:D38"/>
    <mergeCell ref="E37:E38"/>
    <mergeCell ref="B27:B32"/>
    <mergeCell ref="C27:C32"/>
    <mergeCell ref="E27:E28"/>
    <mergeCell ref="D29:D30"/>
    <mergeCell ref="E29:E30"/>
    <mergeCell ref="D31:D32"/>
    <mergeCell ref="E31:E32"/>
    <mergeCell ref="B21:B26"/>
    <mergeCell ref="C21:C26"/>
    <mergeCell ref="D21:D22"/>
    <mergeCell ref="E21:E22"/>
    <mergeCell ref="D23:D24"/>
    <mergeCell ref="E23:E24"/>
    <mergeCell ref="D25:D26"/>
    <mergeCell ref="E25:E26"/>
    <mergeCell ref="B15:B20"/>
    <mergeCell ref="C15:C20"/>
    <mergeCell ref="D15:D16"/>
    <mergeCell ref="E15:E16"/>
    <mergeCell ref="D17:D18"/>
    <mergeCell ref="E17:E18"/>
    <mergeCell ref="D19:D20"/>
    <mergeCell ref="E19:E20"/>
    <mergeCell ref="B9:B14"/>
    <mergeCell ref="C9:C14"/>
    <mergeCell ref="D9:D10"/>
    <mergeCell ref="E9:E10"/>
    <mergeCell ref="D11:D12"/>
    <mergeCell ref="E11:E12"/>
    <mergeCell ref="D13:D14"/>
    <mergeCell ref="E13:E14"/>
    <mergeCell ref="E3:E4"/>
    <mergeCell ref="E5:E6"/>
    <mergeCell ref="E7:E8"/>
    <mergeCell ref="B2:J2"/>
    <mergeCell ref="D27:D28"/>
    <mergeCell ref="D7:D8"/>
    <mergeCell ref="C3:C8"/>
    <mergeCell ref="B3:B8"/>
    <mergeCell ref="D3:D4"/>
    <mergeCell ref="D5:D6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8C02-E6C5-43C1-B2E5-67393949C66E}">
  <sheetPr>
    <tabColor rgb="FF0070C0"/>
  </sheetPr>
  <dimension ref="B2:Q86"/>
  <sheetViews>
    <sheetView topLeftCell="E1" zoomScaleNormal="100" zoomScaleSheetLayoutView="80" workbookViewId="0">
      <selection activeCell="O7" sqref="O7"/>
    </sheetView>
  </sheetViews>
  <sheetFormatPr baseColWidth="10" defaultColWidth="9.1640625" defaultRowHeight="16" x14ac:dyDescent="0.2"/>
  <cols>
    <col min="1" max="1" width="9.1640625" style="1"/>
    <col min="2" max="2" width="9" style="1" bestFit="1" customWidth="1"/>
    <col min="3" max="3" width="9.1640625" style="1" bestFit="1" customWidth="1"/>
    <col min="4" max="4" width="21.33203125" style="1" bestFit="1" customWidth="1"/>
    <col min="5" max="5" width="3.6640625" style="9" bestFit="1" customWidth="1"/>
    <col min="6" max="6" width="16" style="1" bestFit="1" customWidth="1"/>
    <col min="7" max="7" width="28.5" style="1" customWidth="1"/>
    <col min="8" max="8" width="10.5" style="1" bestFit="1" customWidth="1"/>
    <col min="9" max="9" width="10.6640625" style="1" bestFit="1" customWidth="1"/>
    <col min="10" max="10" width="23" style="1" bestFit="1" customWidth="1"/>
    <col min="11" max="11" width="3.6640625" style="1" bestFit="1" customWidth="1"/>
    <col min="12" max="12" width="17.6640625" style="1" bestFit="1" customWidth="1"/>
    <col min="13" max="13" width="28.5" style="1" customWidth="1"/>
    <col min="14" max="14" width="4.6640625" style="1" bestFit="1" customWidth="1"/>
    <col min="15" max="15" width="19.1640625" style="1" bestFit="1" customWidth="1"/>
    <col min="16" max="16" width="12.83203125" style="1" bestFit="1" customWidth="1"/>
    <col min="17" max="17" width="6.6640625" style="1" bestFit="1" customWidth="1"/>
    <col min="18" max="16384" width="9.1640625" style="1"/>
  </cols>
  <sheetData>
    <row r="2" spans="2:17" ht="18" x14ac:dyDescent="0.2">
      <c r="B2" s="11" t="s">
        <v>0</v>
      </c>
      <c r="C2" s="12"/>
      <c r="D2" s="12"/>
      <c r="E2" s="12"/>
      <c r="F2" s="13"/>
      <c r="H2" s="11" t="s">
        <v>43</v>
      </c>
      <c r="I2" s="12"/>
      <c r="J2" s="12"/>
      <c r="K2" s="12"/>
      <c r="L2" s="13"/>
      <c r="M2" s="6"/>
      <c r="N2" s="17" t="s">
        <v>157</v>
      </c>
      <c r="O2" s="17"/>
      <c r="P2" s="17"/>
      <c r="Q2" s="17"/>
    </row>
    <row r="3" spans="2:17" ht="18" x14ac:dyDescent="0.2">
      <c r="B3" s="18" t="s">
        <v>1</v>
      </c>
      <c r="C3" s="3" t="s">
        <v>7</v>
      </c>
      <c r="D3" s="14" t="s">
        <v>11</v>
      </c>
      <c r="E3" s="8" t="str">
        <f ca="1">RIGHT(IF(ISBLANK(D3),INDIRECT("D"&amp;ROW()-1),D3),2)</f>
        <v>A1</v>
      </c>
      <c r="F3" s="2" t="str">
        <f ca="1">_xlfn.CONCAT(_xlfn.SWITCH(E3,"A1","2001:1::","A2","2001:2::","A3","2001:3::","A4","2001:4::"),DEC2HEX(1+COUNTIF($E$3:E3,E3)))</f>
        <v>2001:1::2</v>
      </c>
      <c r="H3" s="18" t="s">
        <v>1</v>
      </c>
      <c r="I3" s="3" t="s">
        <v>59</v>
      </c>
      <c r="J3" s="14" t="s">
        <v>144</v>
      </c>
      <c r="K3" s="8" t="str">
        <f ca="1">RIGHT(IF(ISBLANK(J3),INDIRECT("J"&amp;ROW()-1),J3),2)</f>
        <v>A1</v>
      </c>
      <c r="L3" s="2" t="str">
        <f ca="1">_xlfn.CONCAT(_xlfn.SWITCH(K3,"A1","2001:1::","A2","2001:2::","A3","2001:3::","A4","2001:4::"),DEC2HEX(1+COUNTIF($E$3:$E$26,K3)+ COUNTIF($K$3:K3,K3)))</f>
        <v>2001:1::8</v>
      </c>
      <c r="M3" s="7"/>
      <c r="N3" s="5" t="s">
        <v>158</v>
      </c>
      <c r="O3" s="2" t="s">
        <v>162</v>
      </c>
      <c r="P3" s="2" t="s">
        <v>196</v>
      </c>
      <c r="Q3" s="2" t="s">
        <v>199</v>
      </c>
    </row>
    <row r="4" spans="2:17" ht="18" x14ac:dyDescent="0.2">
      <c r="B4" s="19"/>
      <c r="C4" s="3" t="s">
        <v>8</v>
      </c>
      <c r="D4" s="15"/>
      <c r="E4" s="8" t="str">
        <f t="shared" ref="E4:E26" ca="1" si="0">RIGHT(IF(ISBLANK(D4),INDIRECT("D"&amp;ROW()-1),D4),2)</f>
        <v>A1</v>
      </c>
      <c r="F4" s="2" t="str">
        <f ca="1">_xlfn.CONCAT(_xlfn.SWITCH(E4,"A1","2001:1::","A2","2001:2::","A3","2001:3::","A4","2001:4::"),DEC2HEX(1+COUNTIF($E$3:E4,E4)))</f>
        <v>2001:1::3</v>
      </c>
      <c r="H4" s="19"/>
      <c r="I4" s="3" t="s">
        <v>60</v>
      </c>
      <c r="J4" s="15"/>
      <c r="K4" s="8" t="str">
        <f t="shared" ref="K4:K67" ca="1" si="1">RIGHT(IF(ISBLANK(J4),INDIRECT("J"&amp;ROW()-1),J4),2)</f>
        <v>A1</v>
      </c>
      <c r="L4" s="2" t="str">
        <f ca="1">_xlfn.CONCAT(_xlfn.SWITCH(K4,"A1","2001:1::","A2","2001:2::","A3","2001:3::","A4","2001:4::"),DEC2HEX(1+COUNTIF($E$3:$E$26,K4)+ COUNTIF($K$3:K4,K4)))</f>
        <v>2001:1::9</v>
      </c>
      <c r="M4" s="7"/>
      <c r="N4" s="5" t="s">
        <v>159</v>
      </c>
      <c r="O4" s="2" t="s">
        <v>163</v>
      </c>
      <c r="P4" s="2" t="s">
        <v>195</v>
      </c>
      <c r="Q4" s="2" t="s">
        <v>199</v>
      </c>
    </row>
    <row r="5" spans="2:17" ht="18" x14ac:dyDescent="0.2">
      <c r="B5" s="19"/>
      <c r="C5" s="3" t="s">
        <v>9</v>
      </c>
      <c r="D5" s="15" t="s">
        <v>12</v>
      </c>
      <c r="E5" s="8" t="str">
        <f t="shared" ca="1" si="0"/>
        <v>A3</v>
      </c>
      <c r="F5" s="2" t="str">
        <f ca="1">_xlfn.CONCAT(_xlfn.SWITCH(E5,"A1","2001:1::","A2","2001:2::","A3","2001:3::","A4","2001:4::"),DEC2HEX(1+COUNTIF($E$3:E5,E5)))</f>
        <v>2001:3::2</v>
      </c>
      <c r="H5" s="19"/>
      <c r="I5" s="3" t="s">
        <v>61</v>
      </c>
      <c r="J5" s="15" t="s">
        <v>146</v>
      </c>
      <c r="K5" s="8" t="str">
        <f t="shared" ca="1" si="1"/>
        <v>A2</v>
      </c>
      <c r="L5" s="2" t="str">
        <f ca="1">_xlfn.CONCAT(_xlfn.SWITCH(K5,"A1","2001:1::","A2","2001:2::","A3","2001:3::","A4","2001:4::"),DEC2HEX(1+COUNTIF($E$3:$E$26,K5)+ COUNTIF($K$3:K5,K5)))</f>
        <v>2001:2::8</v>
      </c>
      <c r="M5" s="7"/>
      <c r="N5" s="5" t="s">
        <v>160</v>
      </c>
      <c r="O5" s="2" t="s">
        <v>164</v>
      </c>
      <c r="P5" s="10" t="s">
        <v>197</v>
      </c>
      <c r="Q5" s="2" t="s">
        <v>199</v>
      </c>
    </row>
    <row r="6" spans="2:17" ht="18" x14ac:dyDescent="0.2">
      <c r="B6" s="20"/>
      <c r="C6" s="3" t="s">
        <v>10</v>
      </c>
      <c r="D6" s="16"/>
      <c r="E6" s="8" t="str">
        <f t="shared" ca="1" si="0"/>
        <v>A3</v>
      </c>
      <c r="F6" s="2" t="str">
        <f ca="1">_xlfn.CONCAT(_xlfn.SWITCH(E6,"A1","2001:1::","A2","2001:2::","A3","2001:3::","A4","2001:4::"),DEC2HEX(1+COUNTIF($E$3:E6,E6)))</f>
        <v>2001:3::3</v>
      </c>
      <c r="H6" s="20"/>
      <c r="I6" s="3" t="s">
        <v>62</v>
      </c>
      <c r="J6" s="16"/>
      <c r="K6" s="8" t="str">
        <f t="shared" ca="1" si="1"/>
        <v>A2</v>
      </c>
      <c r="L6" s="2" t="str">
        <f ca="1">_xlfn.CONCAT(_xlfn.SWITCH(K6,"A1","2001:1::","A2","2001:2::","A3","2001:3::","A4","2001:4::"),DEC2HEX(1+COUNTIF($E$3:$E$26,K6)+ COUNTIF($K$3:K6,K6)))</f>
        <v>2001:2::9</v>
      </c>
      <c r="M6" s="7"/>
      <c r="N6" s="5" t="s">
        <v>161</v>
      </c>
      <c r="O6" s="2" t="s">
        <v>165</v>
      </c>
      <c r="P6" s="10" t="s">
        <v>198</v>
      </c>
      <c r="Q6" s="2" t="s">
        <v>199</v>
      </c>
    </row>
    <row r="7" spans="2:17" ht="18" x14ac:dyDescent="0.2">
      <c r="B7" s="14" t="s">
        <v>2</v>
      </c>
      <c r="C7" s="3" t="s">
        <v>23</v>
      </c>
      <c r="D7" s="14" t="s">
        <v>13</v>
      </c>
      <c r="E7" s="8" t="str">
        <f t="shared" ca="1" si="0"/>
        <v>A2</v>
      </c>
      <c r="F7" s="2" t="str">
        <f ca="1">_xlfn.CONCAT(_xlfn.SWITCH(E7,"A1","2001:1::","A2","2001:2::","A3","2001:3::","A4","2001:4::"),DEC2HEX(1+COUNTIF($E$3:E7,E7)))</f>
        <v>2001:2::2</v>
      </c>
      <c r="H7" s="14" t="s">
        <v>2</v>
      </c>
      <c r="I7" s="3" t="s">
        <v>63</v>
      </c>
      <c r="J7" s="14" t="s">
        <v>147</v>
      </c>
      <c r="K7" s="8" t="str">
        <f t="shared" ca="1" si="1"/>
        <v>A1</v>
      </c>
      <c r="L7" s="2" t="str">
        <f ca="1">_xlfn.CONCAT(_xlfn.SWITCH(K7,"A1","2001:1::","A2","2001:2::","A3","2001:3::","A4","2001:4::"),DEC2HEX(1+COUNTIF($E$3:$E$26,K7)+ COUNTIF($K$3:K7,K7)))</f>
        <v>2001:1::A</v>
      </c>
      <c r="M7" s="7"/>
      <c r="P7" s="4"/>
    </row>
    <row r="8" spans="2:17" ht="18" x14ac:dyDescent="0.2">
      <c r="B8" s="15"/>
      <c r="C8" s="3" t="s">
        <v>24</v>
      </c>
      <c r="D8" s="15"/>
      <c r="E8" s="8" t="str">
        <f t="shared" ca="1" si="0"/>
        <v>A2</v>
      </c>
      <c r="F8" s="2" t="str">
        <f ca="1">_xlfn.CONCAT(_xlfn.SWITCH(E8,"A1","2001:1::","A2","2001:2::","A3","2001:3::","A4","2001:4::"),DEC2HEX(1+COUNTIF($E$3:E8,E8)))</f>
        <v>2001:2::3</v>
      </c>
      <c r="H8" s="15"/>
      <c r="I8" s="3" t="s">
        <v>64</v>
      </c>
      <c r="J8" s="15"/>
      <c r="K8" s="8" t="str">
        <f t="shared" ca="1" si="1"/>
        <v>A1</v>
      </c>
      <c r="L8" s="2" t="str">
        <f ca="1">_xlfn.CONCAT(_xlfn.SWITCH(K8,"A1","2001:1::","A2","2001:2::","A3","2001:3::","A4","2001:4::"),DEC2HEX(1+COUNTIF($E$3:$E$26,K8)+ COUNTIF($K$3:K8,K8)))</f>
        <v>2001:1::B</v>
      </c>
      <c r="M8" s="7"/>
    </row>
    <row r="9" spans="2:17" ht="18" x14ac:dyDescent="0.2">
      <c r="B9" s="15"/>
      <c r="C9" s="3" t="s">
        <v>25</v>
      </c>
      <c r="D9" s="15" t="s">
        <v>14</v>
      </c>
      <c r="E9" s="8" t="str">
        <f t="shared" ca="1" si="0"/>
        <v>A4</v>
      </c>
      <c r="F9" s="2" t="str">
        <f ca="1">_xlfn.CONCAT(_xlfn.SWITCH(E9,"A1","2001:1::","A2","2001:2::","A3","2001:3::","A4","2001:4::"),DEC2HEX(1+COUNTIF($E$3:E9,E9)))</f>
        <v>2001:4::2</v>
      </c>
      <c r="H9" s="15"/>
      <c r="I9" s="3" t="s">
        <v>65</v>
      </c>
      <c r="J9" s="15" t="s">
        <v>149</v>
      </c>
      <c r="K9" s="8" t="str">
        <f t="shared" ca="1" si="1"/>
        <v>A3</v>
      </c>
      <c r="L9" s="2" t="str">
        <f ca="1">_xlfn.CONCAT(_xlfn.SWITCH(K9,"A1","2001:1::","A2","2001:2::","A3","2001:3::","A4","2001:4::"),DEC2HEX(1+COUNTIF($E$3:$E$26,K9)+ COUNTIF($K$3:K9,K9)))</f>
        <v>2001:3::8</v>
      </c>
      <c r="M9" s="7"/>
    </row>
    <row r="10" spans="2:17" ht="18" x14ac:dyDescent="0.2">
      <c r="B10" s="16"/>
      <c r="C10" s="3" t="s">
        <v>26</v>
      </c>
      <c r="D10" s="16"/>
      <c r="E10" s="8" t="str">
        <f t="shared" ca="1" si="0"/>
        <v>A4</v>
      </c>
      <c r="F10" s="2" t="str">
        <f ca="1">_xlfn.CONCAT(_xlfn.SWITCH(E10,"A1","2001:1::","A2","2001:2::","A3","2001:3::","A4","2001:4::"),DEC2HEX(1+COUNTIF($E$3:E10,E10)))</f>
        <v>2001:4::3</v>
      </c>
      <c r="H10" s="16"/>
      <c r="I10" s="3" t="s">
        <v>66</v>
      </c>
      <c r="J10" s="16"/>
      <c r="K10" s="8" t="str">
        <f t="shared" ca="1" si="1"/>
        <v>A3</v>
      </c>
      <c r="L10" s="2" t="str">
        <f ca="1">_xlfn.CONCAT(_xlfn.SWITCH(K10,"A1","2001:1::","A2","2001:2::","A3","2001:3::","A4","2001:4::"),DEC2HEX(1+COUNTIF($E$3:$E$26,K10)+ COUNTIF($K$3:K10,K10)))</f>
        <v>2001:3::9</v>
      </c>
      <c r="M10" s="7"/>
    </row>
    <row r="11" spans="2:17" ht="18" x14ac:dyDescent="0.2">
      <c r="B11" s="18" t="s">
        <v>3</v>
      </c>
      <c r="C11" s="3" t="s">
        <v>27</v>
      </c>
      <c r="D11" s="14" t="s">
        <v>15</v>
      </c>
      <c r="E11" s="8" t="str">
        <f t="shared" ca="1" si="0"/>
        <v>A1</v>
      </c>
      <c r="F11" s="2" t="str">
        <f ca="1">_xlfn.CONCAT(_xlfn.SWITCH(E11,"A1","2001:1::","A2","2001:2::","A3","2001:3::","A4","2001:4::"),DEC2HEX(1+COUNTIF($E$3:E11,E11)))</f>
        <v>2001:1::4</v>
      </c>
      <c r="H11" s="18" t="s">
        <v>3</v>
      </c>
      <c r="I11" s="3" t="s">
        <v>67</v>
      </c>
      <c r="J11" s="14" t="s">
        <v>142</v>
      </c>
      <c r="K11" s="8" t="str">
        <f t="shared" ca="1" si="1"/>
        <v>A1</v>
      </c>
      <c r="L11" s="2" t="str">
        <f ca="1">_xlfn.CONCAT(_xlfn.SWITCH(K11,"A1","2001:1::","A2","2001:2::","A3","2001:3::","A4","2001:4::"),DEC2HEX(1+COUNTIF($E$3:$E$26,K11)+ COUNTIF($K$3:K11,K11)))</f>
        <v>2001:1::C</v>
      </c>
      <c r="M11" s="7"/>
    </row>
    <row r="12" spans="2:17" ht="18" x14ac:dyDescent="0.2">
      <c r="B12" s="19"/>
      <c r="C12" s="3" t="s">
        <v>28</v>
      </c>
      <c r="D12" s="15"/>
      <c r="E12" s="8" t="str">
        <f t="shared" ca="1" si="0"/>
        <v>A1</v>
      </c>
      <c r="F12" s="2" t="str">
        <f ca="1">_xlfn.CONCAT(_xlfn.SWITCH(E12,"A1","2001:1::","A2","2001:2::","A3","2001:3::","A4","2001:4::"),DEC2HEX(1+COUNTIF($E$3:E12,E12)))</f>
        <v>2001:1::5</v>
      </c>
      <c r="H12" s="19"/>
      <c r="I12" s="3" t="s">
        <v>68</v>
      </c>
      <c r="J12" s="15"/>
      <c r="K12" s="8" t="str">
        <f t="shared" ca="1" si="1"/>
        <v>A1</v>
      </c>
      <c r="L12" s="2" t="str">
        <f ca="1">_xlfn.CONCAT(_xlfn.SWITCH(K12,"A1","2001:1::","A2","2001:2::","A3","2001:3::","A4","2001:4::"),DEC2HEX(1+COUNTIF($E$3:$E$26,K12)+ COUNTIF($K$3:K12,K12)))</f>
        <v>2001:1::D</v>
      </c>
      <c r="M12" s="7"/>
    </row>
    <row r="13" spans="2:17" ht="18" x14ac:dyDescent="0.2">
      <c r="B13" s="19"/>
      <c r="C13" s="3" t="s">
        <v>29</v>
      </c>
      <c r="D13" s="15" t="s">
        <v>16</v>
      </c>
      <c r="E13" s="8" t="str">
        <f t="shared" ca="1" si="0"/>
        <v>A2</v>
      </c>
      <c r="F13" s="2" t="str">
        <f ca="1">_xlfn.CONCAT(_xlfn.SWITCH(E13,"A1","2001:1::","A2","2001:2::","A3","2001:3::","A4","2001:4::"),DEC2HEX(1+COUNTIF($E$3:E13,E13)))</f>
        <v>2001:2::4</v>
      </c>
      <c r="H13" s="19"/>
      <c r="I13" s="3" t="s">
        <v>69</v>
      </c>
      <c r="J13" s="15" t="s">
        <v>150</v>
      </c>
      <c r="K13" s="8" t="str">
        <f t="shared" ca="1" si="1"/>
        <v>A4</v>
      </c>
      <c r="L13" s="2" t="str">
        <f ca="1">_xlfn.CONCAT(_xlfn.SWITCH(K13,"A1","2001:1::","A2","2001:2::","A3","2001:3::","A4","2001:4::"),DEC2HEX(1+COUNTIF($E$3:$E$26,K13)+ COUNTIF($K$3:K13,K13)))</f>
        <v>2001:4::8</v>
      </c>
      <c r="M13" s="7"/>
    </row>
    <row r="14" spans="2:17" ht="18" x14ac:dyDescent="0.2">
      <c r="B14" s="20"/>
      <c r="C14" s="3" t="s">
        <v>30</v>
      </c>
      <c r="D14" s="16"/>
      <c r="E14" s="8" t="str">
        <f t="shared" ca="1" si="0"/>
        <v>A2</v>
      </c>
      <c r="F14" s="2" t="str">
        <f ca="1">_xlfn.CONCAT(_xlfn.SWITCH(E14,"A1","2001:1::","A2","2001:2::","A3","2001:3::","A4","2001:4::"),DEC2HEX(1+COUNTIF($E$3:E14,E14)))</f>
        <v>2001:2::5</v>
      </c>
      <c r="H14" s="20"/>
      <c r="I14" s="3" t="s">
        <v>70</v>
      </c>
      <c r="J14" s="16"/>
      <c r="K14" s="8" t="str">
        <f t="shared" ca="1" si="1"/>
        <v>A4</v>
      </c>
      <c r="L14" s="2" t="str">
        <f ca="1">_xlfn.CONCAT(_xlfn.SWITCH(K14,"A1","2001:1::","A2","2001:2::","A3","2001:3::","A4","2001:4::"),DEC2HEX(1+COUNTIF($E$3:$E$26,K14)+ COUNTIF($K$3:K14,K14)))</f>
        <v>2001:4::9</v>
      </c>
      <c r="M14" s="7"/>
    </row>
    <row r="15" spans="2:17" ht="18" x14ac:dyDescent="0.2">
      <c r="B15" s="14" t="s">
        <v>4</v>
      </c>
      <c r="C15" s="3" t="s">
        <v>31</v>
      </c>
      <c r="D15" s="14" t="s">
        <v>17</v>
      </c>
      <c r="E15" s="8" t="str">
        <f t="shared" ca="1" si="0"/>
        <v>A3</v>
      </c>
      <c r="F15" s="2" t="str">
        <f ca="1">_xlfn.CONCAT(_xlfn.SWITCH(E15,"A1","2001:1::","A2","2001:2::","A3","2001:3::","A4","2001:4::"),DEC2HEX(1+COUNTIF($E$3:E15,E15)))</f>
        <v>2001:3::4</v>
      </c>
      <c r="H15" s="14" t="s">
        <v>4</v>
      </c>
      <c r="I15" s="3" t="s">
        <v>71</v>
      </c>
      <c r="J15" s="14" t="s">
        <v>151</v>
      </c>
      <c r="K15" s="8" t="str">
        <f t="shared" ca="1" si="1"/>
        <v>A2</v>
      </c>
      <c r="L15" s="2" t="str">
        <f ca="1">_xlfn.CONCAT(_xlfn.SWITCH(K15,"A1","2001:1::","A2","2001:2::","A3","2001:3::","A4","2001:4::"),DEC2HEX(1+COUNTIF($E$3:$E$26,K15)+ COUNTIF($K$3:K15,K15)))</f>
        <v>2001:2::A</v>
      </c>
      <c r="M15" s="7"/>
    </row>
    <row r="16" spans="2:17" ht="18" x14ac:dyDescent="0.2">
      <c r="B16" s="15"/>
      <c r="C16" s="3" t="s">
        <v>32</v>
      </c>
      <c r="D16" s="15"/>
      <c r="E16" s="8" t="str">
        <f t="shared" ca="1" si="0"/>
        <v>A3</v>
      </c>
      <c r="F16" s="2" t="str">
        <f ca="1">_xlfn.CONCAT(_xlfn.SWITCH(E16,"A1","2001:1::","A2","2001:2::","A3","2001:3::","A4","2001:4::"),DEC2HEX(1+COUNTIF($E$3:E16,E16)))</f>
        <v>2001:3::5</v>
      </c>
      <c r="H16" s="15"/>
      <c r="I16" s="3" t="s">
        <v>72</v>
      </c>
      <c r="J16" s="15"/>
      <c r="K16" s="8" t="str">
        <f t="shared" ca="1" si="1"/>
        <v>A2</v>
      </c>
      <c r="L16" s="2" t="str">
        <f ca="1">_xlfn.CONCAT(_xlfn.SWITCH(K16,"A1","2001:1::","A2","2001:2::","A3","2001:3::","A4","2001:4::"),DEC2HEX(1+COUNTIF($E$3:$E$26,K16)+ COUNTIF($K$3:K16,K16)))</f>
        <v>2001:2::B</v>
      </c>
      <c r="M16" s="7"/>
    </row>
    <row r="17" spans="2:13" ht="18" x14ac:dyDescent="0.2">
      <c r="B17" s="15"/>
      <c r="C17" s="3" t="s">
        <v>33</v>
      </c>
      <c r="D17" s="15" t="s">
        <v>18</v>
      </c>
      <c r="E17" s="8" t="str">
        <f t="shared" ca="1" si="0"/>
        <v>A4</v>
      </c>
      <c r="F17" s="2" t="str">
        <f ca="1">_xlfn.CONCAT(_xlfn.SWITCH(E17,"A1","2001:1::","A2","2001:2::","A3","2001:3::","A4","2001:4::"),DEC2HEX(1+COUNTIF($E$3:E17,E17)))</f>
        <v>2001:4::4</v>
      </c>
      <c r="H17" s="15"/>
      <c r="I17" s="3" t="s">
        <v>73</v>
      </c>
      <c r="J17" s="15" t="s">
        <v>148</v>
      </c>
      <c r="K17" s="8" t="str">
        <f t="shared" ca="1" si="1"/>
        <v>A1</v>
      </c>
      <c r="L17" s="2" t="str">
        <f ca="1">_xlfn.CONCAT(_xlfn.SWITCH(K17,"A1","2001:1::","A2","2001:2::","A3","2001:3::","A4","2001:4::"),DEC2HEX(1+COUNTIF($E$3:$E$26,K17)+ COUNTIF($K$3:K17,K17)))</f>
        <v>2001:1::E</v>
      </c>
      <c r="M17" s="7"/>
    </row>
    <row r="18" spans="2:13" ht="18" x14ac:dyDescent="0.2">
      <c r="B18" s="16"/>
      <c r="C18" s="3" t="s">
        <v>34</v>
      </c>
      <c r="D18" s="16"/>
      <c r="E18" s="8" t="str">
        <f t="shared" ca="1" si="0"/>
        <v>A4</v>
      </c>
      <c r="F18" s="2" t="str">
        <f ca="1">_xlfn.CONCAT(_xlfn.SWITCH(E18,"A1","2001:1::","A2","2001:2::","A3","2001:3::","A4","2001:4::"),DEC2HEX(1+COUNTIF($E$3:E18,E18)))</f>
        <v>2001:4::5</v>
      </c>
      <c r="H18" s="16"/>
      <c r="I18" s="3" t="s">
        <v>74</v>
      </c>
      <c r="J18" s="16"/>
      <c r="K18" s="8" t="str">
        <f t="shared" ca="1" si="1"/>
        <v>A1</v>
      </c>
      <c r="L18" s="2" t="str">
        <f ca="1">_xlfn.CONCAT(_xlfn.SWITCH(K18,"A1","2001:1::","A2","2001:2::","A3","2001:3::","A4","2001:4::"),DEC2HEX(1+COUNTIF($E$3:$E$26,K18)+ COUNTIF($K$3:K18,K18)))</f>
        <v>2001:1::F</v>
      </c>
      <c r="M18" s="7"/>
    </row>
    <row r="19" spans="2:13" ht="18" x14ac:dyDescent="0.2">
      <c r="B19" s="18" t="s">
        <v>5</v>
      </c>
      <c r="C19" s="3" t="s">
        <v>35</v>
      </c>
      <c r="D19" s="14" t="s">
        <v>19</v>
      </c>
      <c r="E19" s="8" t="str">
        <f t="shared" ca="1" si="0"/>
        <v>A4</v>
      </c>
      <c r="F19" s="2" t="str">
        <f ca="1">_xlfn.CONCAT(_xlfn.SWITCH(E19,"A1","2001:1::","A2","2001:2::","A3","2001:3::","A4","2001:4::"),DEC2HEX(1+COUNTIF($E$3:E19,E19)))</f>
        <v>2001:4::6</v>
      </c>
      <c r="H19" s="18" t="s">
        <v>5</v>
      </c>
      <c r="I19" s="3" t="s">
        <v>75</v>
      </c>
      <c r="J19" s="14" t="s">
        <v>152</v>
      </c>
      <c r="K19" s="8" t="str">
        <f t="shared" ca="1" si="1"/>
        <v>A2</v>
      </c>
      <c r="L19" s="2" t="str">
        <f ca="1">_xlfn.CONCAT(_xlfn.SWITCH(K19,"A1","2001:1::","A2","2001:2::","A3","2001:3::","A4","2001:4::"),DEC2HEX(1+COUNTIF($E$3:$E$26,K19)+ COUNTIF($K$3:K19,K19)))</f>
        <v>2001:2::C</v>
      </c>
      <c r="M19" s="7"/>
    </row>
    <row r="20" spans="2:13" ht="18" x14ac:dyDescent="0.2">
      <c r="B20" s="19"/>
      <c r="C20" s="3" t="s">
        <v>36</v>
      </c>
      <c r="D20" s="15"/>
      <c r="E20" s="8" t="str">
        <f t="shared" ca="1" si="0"/>
        <v>A4</v>
      </c>
      <c r="F20" s="2" t="str">
        <f ca="1">_xlfn.CONCAT(_xlfn.SWITCH(E20,"A1","2001:1::","A2","2001:2::","A3","2001:3::","A4","2001:4::"),DEC2HEX(1+COUNTIF($E$3:E20,E20)))</f>
        <v>2001:4::7</v>
      </c>
      <c r="H20" s="19"/>
      <c r="I20" s="3" t="s">
        <v>76</v>
      </c>
      <c r="J20" s="15"/>
      <c r="K20" s="8" t="str">
        <f t="shared" ca="1" si="1"/>
        <v>A2</v>
      </c>
      <c r="L20" s="2" t="str">
        <f ca="1">_xlfn.CONCAT(_xlfn.SWITCH(K20,"A1","2001:1::","A2","2001:2::","A3","2001:3::","A4","2001:4::"),DEC2HEX(1+COUNTIF($E$3:$E$26,K20)+ COUNTIF($K$3:K20,K20)))</f>
        <v>2001:2::D</v>
      </c>
      <c r="M20" s="7"/>
    </row>
    <row r="21" spans="2:13" ht="18" x14ac:dyDescent="0.2">
      <c r="B21" s="19"/>
      <c r="C21" s="3" t="s">
        <v>37</v>
      </c>
      <c r="D21" s="15" t="s">
        <v>20</v>
      </c>
      <c r="E21" s="8" t="str">
        <f t="shared" ca="1" si="0"/>
        <v>A1</v>
      </c>
      <c r="F21" s="2" t="str">
        <f ca="1">_xlfn.CONCAT(_xlfn.SWITCH(E21,"A1","2001:1::","A2","2001:2::","A3","2001:3::","A4","2001:4::"),DEC2HEX(1+COUNTIF($E$3:E21,E21)))</f>
        <v>2001:1::6</v>
      </c>
      <c r="H21" s="19"/>
      <c r="I21" s="3" t="s">
        <v>77</v>
      </c>
      <c r="J21" s="15" t="s">
        <v>153</v>
      </c>
      <c r="K21" s="8" t="str">
        <f t="shared" ca="1" si="1"/>
        <v>A3</v>
      </c>
      <c r="L21" s="2" t="str">
        <f ca="1">_xlfn.CONCAT(_xlfn.SWITCH(K21,"A1","2001:1::","A2","2001:2::","A3","2001:3::","A4","2001:4::"),DEC2HEX(1+COUNTIF($E$3:$E$26,K21)+ COUNTIF($K$3:K21,K21)))</f>
        <v>2001:3::A</v>
      </c>
      <c r="M21" s="7"/>
    </row>
    <row r="22" spans="2:13" ht="18" x14ac:dyDescent="0.2">
      <c r="B22" s="20"/>
      <c r="C22" s="3" t="s">
        <v>38</v>
      </c>
      <c r="D22" s="16"/>
      <c r="E22" s="8" t="str">
        <f t="shared" ca="1" si="0"/>
        <v>A1</v>
      </c>
      <c r="F22" s="2" t="str">
        <f ca="1">_xlfn.CONCAT(_xlfn.SWITCH(E22,"A1","2001:1::","A2","2001:2::","A3","2001:3::","A4","2001:4::"),DEC2HEX(1+COUNTIF($E$3:E22,E22)))</f>
        <v>2001:1::7</v>
      </c>
      <c r="H22" s="20"/>
      <c r="I22" s="3" t="s">
        <v>78</v>
      </c>
      <c r="J22" s="16"/>
      <c r="K22" s="8" t="str">
        <f t="shared" ca="1" si="1"/>
        <v>A3</v>
      </c>
      <c r="L22" s="2" t="str">
        <f ca="1">_xlfn.CONCAT(_xlfn.SWITCH(K22,"A1","2001:1::","A2","2001:2::","A3","2001:3::","A4","2001:4::"),DEC2HEX(1+COUNTIF($E$3:$E$26,K22)+ COUNTIF($K$3:K22,K22)))</f>
        <v>2001:3::B</v>
      </c>
      <c r="M22" s="7"/>
    </row>
    <row r="23" spans="2:13" ht="18" x14ac:dyDescent="0.2">
      <c r="B23" s="14" t="s">
        <v>6</v>
      </c>
      <c r="C23" s="3" t="s">
        <v>39</v>
      </c>
      <c r="D23" s="14" t="s">
        <v>21</v>
      </c>
      <c r="E23" s="8" t="str">
        <f t="shared" ca="1" si="0"/>
        <v>A3</v>
      </c>
      <c r="F23" s="2" t="str">
        <f ca="1">_xlfn.CONCAT(_xlfn.SWITCH(E23,"A1","2001:1::","A2","2001:2::","A3","2001:3::","A4","2001:4::"),DEC2HEX(1+COUNTIF($E$3:E23,E23)))</f>
        <v>2001:3::6</v>
      </c>
      <c r="H23" s="14" t="s">
        <v>6</v>
      </c>
      <c r="I23" s="3" t="s">
        <v>79</v>
      </c>
      <c r="J23" s="14" t="s">
        <v>143</v>
      </c>
      <c r="K23" s="8" t="str">
        <f t="shared" ca="1" si="1"/>
        <v>A2</v>
      </c>
      <c r="L23" s="2" t="str">
        <f ca="1">_xlfn.CONCAT(_xlfn.SWITCH(K23,"A1","2001:1::","A2","2001:2::","A3","2001:3::","A4","2001:4::"),DEC2HEX(1+COUNTIF($E$3:$E$26,K23)+ COUNTIF($K$3:K23,K23)))</f>
        <v>2001:2::E</v>
      </c>
      <c r="M23" s="7"/>
    </row>
    <row r="24" spans="2:13" ht="18" x14ac:dyDescent="0.2">
      <c r="B24" s="15"/>
      <c r="C24" s="3" t="s">
        <v>40</v>
      </c>
      <c r="D24" s="15"/>
      <c r="E24" s="8" t="str">
        <f t="shared" ca="1" si="0"/>
        <v>A3</v>
      </c>
      <c r="F24" s="2" t="str">
        <f ca="1">_xlfn.CONCAT(_xlfn.SWITCH(E24,"A1","2001:1::","A2","2001:2::","A3","2001:3::","A4","2001:4::"),DEC2HEX(1+COUNTIF($E$3:E24,E24)))</f>
        <v>2001:3::7</v>
      </c>
      <c r="H24" s="15"/>
      <c r="I24" s="3" t="s">
        <v>80</v>
      </c>
      <c r="J24" s="15"/>
      <c r="K24" s="8" t="str">
        <f t="shared" ca="1" si="1"/>
        <v>A2</v>
      </c>
      <c r="L24" s="2" t="str">
        <f ca="1">_xlfn.CONCAT(_xlfn.SWITCH(K24,"A1","2001:1::","A2","2001:2::","A3","2001:3::","A4","2001:4::"),DEC2HEX(1+COUNTIF($E$3:$E$26,K24)+ COUNTIF($K$3:K24,K24)))</f>
        <v>2001:2::F</v>
      </c>
      <c r="M24" s="7"/>
    </row>
    <row r="25" spans="2:13" ht="18" x14ac:dyDescent="0.2">
      <c r="B25" s="15"/>
      <c r="C25" s="3" t="s">
        <v>41</v>
      </c>
      <c r="D25" s="15" t="s">
        <v>22</v>
      </c>
      <c r="E25" s="8" t="str">
        <f t="shared" ca="1" si="0"/>
        <v>A2</v>
      </c>
      <c r="F25" s="2" t="str">
        <f ca="1">_xlfn.CONCAT(_xlfn.SWITCH(E25,"A1","2001:1::","A2","2001:2::","A3","2001:3::","A4","2001:4::"),DEC2HEX(1+COUNTIF($E$3:E25,E25)))</f>
        <v>2001:2::6</v>
      </c>
      <c r="H25" s="15"/>
      <c r="I25" s="3" t="s">
        <v>81</v>
      </c>
      <c r="J25" s="15" t="s">
        <v>154</v>
      </c>
      <c r="K25" s="8" t="str">
        <f t="shared" ca="1" si="1"/>
        <v>A4</v>
      </c>
      <c r="L25" s="2" t="str">
        <f ca="1">_xlfn.CONCAT(_xlfn.SWITCH(K25,"A1","2001:1::","A2","2001:2::","A3","2001:3::","A4","2001:4::"),DEC2HEX(1+COUNTIF($E$3:$E$26,K25)+ COUNTIF($K$3:K25,K25)))</f>
        <v>2001:4::A</v>
      </c>
      <c r="M25" s="7"/>
    </row>
    <row r="26" spans="2:13" ht="18" x14ac:dyDescent="0.2">
      <c r="B26" s="16"/>
      <c r="C26" s="3" t="s">
        <v>42</v>
      </c>
      <c r="D26" s="16"/>
      <c r="E26" s="8" t="str">
        <f t="shared" ca="1" si="0"/>
        <v>A2</v>
      </c>
      <c r="F26" s="2" t="str">
        <f ca="1">_xlfn.CONCAT(_xlfn.SWITCH(E26,"A1","2001:1::","A2","2001:2::","A3","2001:3::","A4","2001:4::"),DEC2HEX(1+COUNTIF($E$3:E26,E26)))</f>
        <v>2001:2::7</v>
      </c>
      <c r="H26" s="16"/>
      <c r="I26" s="3" t="s">
        <v>82</v>
      </c>
      <c r="J26" s="16"/>
      <c r="K26" s="8" t="str">
        <f t="shared" ca="1" si="1"/>
        <v>A4</v>
      </c>
      <c r="L26" s="2" t="str">
        <f ca="1">_xlfn.CONCAT(_xlfn.SWITCH(K26,"A1","2001:1::","A2","2001:2::","A3","2001:3::","A4","2001:4::"),DEC2HEX(1+COUNTIF($E$3:$E$26,K26)+ COUNTIF($K$3:K26,K26)))</f>
        <v>2001:4::B</v>
      </c>
      <c r="M26" s="7"/>
    </row>
    <row r="27" spans="2:13" ht="18" x14ac:dyDescent="0.2">
      <c r="H27" s="18" t="s">
        <v>44</v>
      </c>
      <c r="I27" s="3" t="s">
        <v>83</v>
      </c>
      <c r="J27" s="14" t="s">
        <v>155</v>
      </c>
      <c r="K27" s="8" t="str">
        <f t="shared" ca="1" si="1"/>
        <v>A3</v>
      </c>
      <c r="L27" s="2" t="str">
        <f ca="1">_xlfn.CONCAT(_xlfn.SWITCH(K27,"A1","2001:1::","A2","2001:2::","A3","2001:3::","A4","2001:4::"),DEC2HEX(1+COUNTIF($E$3:$E$26,K27)+ COUNTIF($K$3:K27,K27)))</f>
        <v>2001:3::C</v>
      </c>
      <c r="M27" s="7"/>
    </row>
    <row r="28" spans="2:13" ht="18" x14ac:dyDescent="0.2">
      <c r="H28" s="19"/>
      <c r="I28" s="3" t="s">
        <v>84</v>
      </c>
      <c r="J28" s="15"/>
      <c r="K28" s="8" t="str">
        <f t="shared" ca="1" si="1"/>
        <v>A3</v>
      </c>
      <c r="L28" s="2" t="str">
        <f ca="1">_xlfn.CONCAT(_xlfn.SWITCH(K28,"A1","2001:1::","A2","2001:2::","A3","2001:3::","A4","2001:4::"),DEC2HEX(1+COUNTIF($E$3:$E$26,K28)+ COUNTIF($K$3:K28,K28)))</f>
        <v>2001:3::D</v>
      </c>
      <c r="M28" s="7"/>
    </row>
    <row r="29" spans="2:13" ht="18" x14ac:dyDescent="0.2">
      <c r="H29" s="19"/>
      <c r="I29" s="3" t="s">
        <v>85</v>
      </c>
      <c r="J29" s="15" t="s">
        <v>156</v>
      </c>
      <c r="K29" s="8" t="str">
        <f t="shared" ca="1" si="1"/>
        <v>A1</v>
      </c>
      <c r="L29" s="2" t="str">
        <f ca="1">_xlfn.CONCAT(_xlfn.SWITCH(K29,"A1","2001:1::","A2","2001:2::","A3","2001:3::","A4","2001:4::"),DEC2HEX(1+COUNTIF($E$3:$E$26,K29)+ COUNTIF($K$3:K29,K29)))</f>
        <v>2001:1::10</v>
      </c>
      <c r="M29" s="7"/>
    </row>
    <row r="30" spans="2:13" ht="18" x14ac:dyDescent="0.2">
      <c r="H30" s="20"/>
      <c r="I30" s="3" t="s">
        <v>86</v>
      </c>
      <c r="J30" s="16"/>
      <c r="K30" s="8" t="str">
        <f t="shared" ca="1" si="1"/>
        <v>A1</v>
      </c>
      <c r="L30" s="2" t="str">
        <f ca="1">_xlfn.CONCAT(_xlfn.SWITCH(K30,"A1","2001:1::","A2","2001:2::","A3","2001:3::","A4","2001:4::"),DEC2HEX(1+COUNTIF($E$3:$E$26,K30)+ COUNTIF($K$3:K30,K30)))</f>
        <v>2001:1::11</v>
      </c>
      <c r="M30" s="7"/>
    </row>
    <row r="31" spans="2:13" ht="18" x14ac:dyDescent="0.2">
      <c r="H31" s="14" t="s">
        <v>45</v>
      </c>
      <c r="I31" s="3" t="s">
        <v>87</v>
      </c>
      <c r="J31" s="14" t="s">
        <v>166</v>
      </c>
      <c r="K31" s="8" t="str">
        <f t="shared" ca="1" si="1"/>
        <v>A3</v>
      </c>
      <c r="L31" s="2" t="str">
        <f ca="1">_xlfn.CONCAT(_xlfn.SWITCH(K31,"A1","2001:1::","A2","2001:2::","A3","2001:3::","A4","2001:4::"),DEC2HEX(1+COUNTIF($E$3:$E$26,K31)+ COUNTIF($K$3:K31,K31)))</f>
        <v>2001:3::E</v>
      </c>
      <c r="M31" s="7"/>
    </row>
    <row r="32" spans="2:13" ht="18" x14ac:dyDescent="0.2">
      <c r="H32" s="15"/>
      <c r="I32" s="3" t="s">
        <v>88</v>
      </c>
      <c r="J32" s="15"/>
      <c r="K32" s="8" t="str">
        <f t="shared" ca="1" si="1"/>
        <v>A3</v>
      </c>
      <c r="L32" s="2" t="str">
        <f ca="1">_xlfn.CONCAT(_xlfn.SWITCH(K32,"A1","2001:1::","A2","2001:2::","A3","2001:3::","A4","2001:4::"),DEC2HEX(1+COUNTIF($E$3:$E$26,K32)+ COUNTIF($K$3:K32,K32)))</f>
        <v>2001:3::F</v>
      </c>
      <c r="M32" s="7"/>
    </row>
    <row r="33" spans="8:13" ht="18" x14ac:dyDescent="0.2">
      <c r="H33" s="15"/>
      <c r="I33" s="3" t="s">
        <v>89</v>
      </c>
      <c r="J33" s="15" t="s">
        <v>167</v>
      </c>
      <c r="K33" s="8" t="str">
        <f t="shared" ca="1" si="1"/>
        <v>A2</v>
      </c>
      <c r="L33" s="2" t="str">
        <f ca="1">_xlfn.CONCAT(_xlfn.SWITCH(K33,"A1","2001:1::","A2","2001:2::","A3","2001:3::","A4","2001:4::"),DEC2HEX(1+COUNTIF($E$3:$E$26,K33)+ COUNTIF($K$3:K33,K33)))</f>
        <v>2001:2::10</v>
      </c>
      <c r="M33" s="7"/>
    </row>
    <row r="34" spans="8:13" ht="18" x14ac:dyDescent="0.2">
      <c r="H34" s="16"/>
      <c r="I34" s="3" t="s">
        <v>90</v>
      </c>
      <c r="J34" s="16"/>
      <c r="K34" s="8" t="str">
        <f t="shared" ca="1" si="1"/>
        <v>A2</v>
      </c>
      <c r="L34" s="2" t="str">
        <f ca="1">_xlfn.CONCAT(_xlfn.SWITCH(K34,"A1","2001:1::","A2","2001:2::","A3","2001:3::","A4","2001:4::"),DEC2HEX(1+COUNTIF($E$3:$E$26,K34)+ COUNTIF($K$3:K34,K34)))</f>
        <v>2001:2::11</v>
      </c>
      <c r="M34" s="7"/>
    </row>
    <row r="35" spans="8:13" ht="18" x14ac:dyDescent="0.2">
      <c r="H35" s="18" t="s">
        <v>46</v>
      </c>
      <c r="I35" s="3" t="s">
        <v>91</v>
      </c>
      <c r="J35" s="14" t="s">
        <v>168</v>
      </c>
      <c r="K35" s="8" t="str">
        <f t="shared" ca="1" si="1"/>
        <v>A3</v>
      </c>
      <c r="L35" s="2" t="str">
        <f ca="1">_xlfn.CONCAT(_xlfn.SWITCH(K35,"A1","2001:1::","A2","2001:2::","A3","2001:3::","A4","2001:4::"),DEC2HEX(1+COUNTIF($E$3:$E$26,K35)+ COUNTIF($K$3:K35,K35)))</f>
        <v>2001:3::10</v>
      </c>
      <c r="M35" s="7"/>
    </row>
    <row r="36" spans="8:13" ht="18" x14ac:dyDescent="0.2">
      <c r="H36" s="19"/>
      <c r="I36" s="3" t="s">
        <v>92</v>
      </c>
      <c r="J36" s="15"/>
      <c r="K36" s="8" t="str">
        <f t="shared" ca="1" si="1"/>
        <v>A3</v>
      </c>
      <c r="L36" s="2" t="str">
        <f ca="1">_xlfn.CONCAT(_xlfn.SWITCH(K36,"A1","2001:1::","A2","2001:2::","A3","2001:3::","A4","2001:4::"),DEC2HEX(1+COUNTIF($E$3:$E$26,K36)+ COUNTIF($K$3:K36,K36)))</f>
        <v>2001:3::11</v>
      </c>
      <c r="M36" s="7"/>
    </row>
    <row r="37" spans="8:13" ht="18" x14ac:dyDescent="0.2">
      <c r="H37" s="19"/>
      <c r="I37" s="3" t="s">
        <v>93</v>
      </c>
      <c r="J37" s="15" t="s">
        <v>169</v>
      </c>
      <c r="K37" s="8" t="str">
        <f t="shared" ca="1" si="1"/>
        <v>A4</v>
      </c>
      <c r="L37" s="2" t="str">
        <f ca="1">_xlfn.CONCAT(_xlfn.SWITCH(K37,"A1","2001:1::","A2","2001:2::","A3","2001:3::","A4","2001:4::"),DEC2HEX(1+COUNTIF($E$3:$E$26,K37)+ COUNTIF($K$3:K37,K37)))</f>
        <v>2001:4::C</v>
      </c>
      <c r="M37" s="7"/>
    </row>
    <row r="38" spans="8:13" ht="18" x14ac:dyDescent="0.2">
      <c r="H38" s="20"/>
      <c r="I38" s="3" t="s">
        <v>94</v>
      </c>
      <c r="J38" s="16"/>
      <c r="K38" s="8" t="str">
        <f t="shared" ca="1" si="1"/>
        <v>A4</v>
      </c>
      <c r="L38" s="2" t="str">
        <f ca="1">_xlfn.CONCAT(_xlfn.SWITCH(K38,"A1","2001:1::","A2","2001:2::","A3","2001:3::","A4","2001:4::"),DEC2HEX(1+COUNTIF($E$3:$E$26,K38)+ COUNTIF($K$3:K38,K38)))</f>
        <v>2001:4::D</v>
      </c>
      <c r="M38" s="7"/>
    </row>
    <row r="39" spans="8:13" ht="18" x14ac:dyDescent="0.2">
      <c r="H39" s="14" t="s">
        <v>47</v>
      </c>
      <c r="I39" s="3" t="s">
        <v>95</v>
      </c>
      <c r="J39" s="14" t="s">
        <v>170</v>
      </c>
      <c r="K39" s="8" t="str">
        <f t="shared" ca="1" si="1"/>
        <v>A4</v>
      </c>
      <c r="L39" s="2" t="str">
        <f ca="1">_xlfn.CONCAT(_xlfn.SWITCH(K39,"A1","2001:1::","A2","2001:2::","A3","2001:3::","A4","2001:4::"),DEC2HEX(1+COUNTIF($E$3:$E$26,K39)+ COUNTIF($K$3:K39,K39)))</f>
        <v>2001:4::E</v>
      </c>
      <c r="M39" s="7"/>
    </row>
    <row r="40" spans="8:13" ht="18" x14ac:dyDescent="0.2">
      <c r="H40" s="15"/>
      <c r="I40" s="3" t="s">
        <v>96</v>
      </c>
      <c r="J40" s="15"/>
      <c r="K40" s="8" t="str">
        <f t="shared" ca="1" si="1"/>
        <v>A4</v>
      </c>
      <c r="L40" s="2" t="str">
        <f ca="1">_xlfn.CONCAT(_xlfn.SWITCH(K40,"A1","2001:1::","A2","2001:2::","A3","2001:3::","A4","2001:4::"),DEC2HEX(1+COUNTIF($E$3:$E$26,K40)+ COUNTIF($K$3:K40,K40)))</f>
        <v>2001:4::F</v>
      </c>
      <c r="M40" s="7"/>
    </row>
    <row r="41" spans="8:13" ht="18" x14ac:dyDescent="0.2">
      <c r="H41" s="15"/>
      <c r="I41" s="3" t="s">
        <v>97</v>
      </c>
      <c r="J41" s="15" t="s">
        <v>171</v>
      </c>
      <c r="K41" s="8" t="str">
        <f t="shared" ca="1" si="1"/>
        <v>A1</v>
      </c>
      <c r="L41" s="2" t="str">
        <f ca="1">_xlfn.CONCAT(_xlfn.SWITCH(K41,"A1","2001:1::","A2","2001:2::","A3","2001:3::","A4","2001:4::"),DEC2HEX(1+COUNTIF($E$3:$E$26,K41)+ COUNTIF($K$3:K41,K41)))</f>
        <v>2001:1::12</v>
      </c>
      <c r="M41" s="7"/>
    </row>
    <row r="42" spans="8:13" ht="18" x14ac:dyDescent="0.2">
      <c r="H42" s="16"/>
      <c r="I42" s="3" t="s">
        <v>98</v>
      </c>
      <c r="J42" s="16"/>
      <c r="K42" s="8" t="str">
        <f t="shared" ca="1" si="1"/>
        <v>A1</v>
      </c>
      <c r="L42" s="2" t="str">
        <f ca="1">_xlfn.CONCAT(_xlfn.SWITCH(K42,"A1","2001:1::","A2","2001:2::","A3","2001:3::","A4","2001:4::"),DEC2HEX(1+COUNTIF($E$3:$E$26,K42)+ COUNTIF($K$3:K42,K42)))</f>
        <v>2001:1::13</v>
      </c>
      <c r="M42" s="7"/>
    </row>
    <row r="43" spans="8:13" ht="18" x14ac:dyDescent="0.2">
      <c r="H43" s="18" t="s">
        <v>48</v>
      </c>
      <c r="I43" s="3" t="s">
        <v>99</v>
      </c>
      <c r="J43" s="14" t="s">
        <v>172</v>
      </c>
      <c r="K43" s="8" t="str">
        <f t="shared" ca="1" si="1"/>
        <v>A4</v>
      </c>
      <c r="L43" s="2" t="str">
        <f ca="1">_xlfn.CONCAT(_xlfn.SWITCH(K43,"A1","2001:1::","A2","2001:2::","A3","2001:3::","A4","2001:4::"),DEC2HEX(1+COUNTIF($E$3:$E$26,K43)+ COUNTIF($K$3:K43,K43)))</f>
        <v>2001:4::10</v>
      </c>
      <c r="M43" s="7"/>
    </row>
    <row r="44" spans="8:13" ht="18" x14ac:dyDescent="0.2">
      <c r="H44" s="19"/>
      <c r="I44" s="3" t="s">
        <v>100</v>
      </c>
      <c r="J44" s="15"/>
      <c r="K44" s="8" t="str">
        <f t="shared" ca="1" si="1"/>
        <v>A4</v>
      </c>
      <c r="L44" s="2" t="str">
        <f ca="1">_xlfn.CONCAT(_xlfn.SWITCH(K44,"A1","2001:1::","A2","2001:2::","A3","2001:3::","A4","2001:4::"),DEC2HEX(1+COUNTIF($E$3:$E$26,K44)+ COUNTIF($K$3:K44,K44)))</f>
        <v>2001:4::11</v>
      </c>
      <c r="M44" s="7"/>
    </row>
    <row r="45" spans="8:13" ht="18" x14ac:dyDescent="0.2">
      <c r="H45" s="19"/>
      <c r="I45" s="3" t="s">
        <v>101</v>
      </c>
      <c r="J45" s="15" t="s">
        <v>173</v>
      </c>
      <c r="K45" s="8" t="str">
        <f t="shared" ca="1" si="1"/>
        <v>A2</v>
      </c>
      <c r="L45" s="2" t="str">
        <f ca="1">_xlfn.CONCAT(_xlfn.SWITCH(K45,"A1","2001:1::","A2","2001:2::","A3","2001:3::","A4","2001:4::"),DEC2HEX(1+COUNTIF($E$3:$E$26,K45)+ COUNTIF($K$3:K45,K45)))</f>
        <v>2001:2::12</v>
      </c>
      <c r="M45" s="7"/>
    </row>
    <row r="46" spans="8:13" ht="18" x14ac:dyDescent="0.2">
      <c r="H46" s="20"/>
      <c r="I46" s="3" t="s">
        <v>102</v>
      </c>
      <c r="J46" s="16"/>
      <c r="K46" s="8" t="str">
        <f t="shared" ca="1" si="1"/>
        <v>A2</v>
      </c>
      <c r="L46" s="2" t="str">
        <f ca="1">_xlfn.CONCAT(_xlfn.SWITCH(K46,"A1","2001:1::","A2","2001:2::","A3","2001:3::","A4","2001:4::"),DEC2HEX(1+COUNTIF($E$3:$E$26,K46)+ COUNTIF($K$3:K46,K46)))</f>
        <v>2001:2::13</v>
      </c>
      <c r="M46" s="7"/>
    </row>
    <row r="47" spans="8:13" ht="18" x14ac:dyDescent="0.2">
      <c r="H47" s="14" t="s">
        <v>49</v>
      </c>
      <c r="I47" s="3" t="s">
        <v>103</v>
      </c>
      <c r="J47" s="14" t="s">
        <v>174</v>
      </c>
      <c r="K47" s="8" t="str">
        <f t="shared" ca="1" si="1"/>
        <v>A4</v>
      </c>
      <c r="L47" s="2" t="str">
        <f ca="1">_xlfn.CONCAT(_xlfn.SWITCH(K47,"A1","2001:1::","A2","2001:2::","A3","2001:3::","A4","2001:4::"),DEC2HEX(1+COUNTIF($E$3:$E$26,K47)+ COUNTIF($K$3:K47,K47)))</f>
        <v>2001:4::12</v>
      </c>
      <c r="M47" s="7"/>
    </row>
    <row r="48" spans="8:13" ht="18" x14ac:dyDescent="0.2">
      <c r="H48" s="15"/>
      <c r="I48" s="3" t="s">
        <v>104</v>
      </c>
      <c r="J48" s="15"/>
      <c r="K48" s="8" t="str">
        <f t="shared" ca="1" si="1"/>
        <v>A4</v>
      </c>
      <c r="L48" s="2" t="str">
        <f ca="1">_xlfn.CONCAT(_xlfn.SWITCH(K48,"A1","2001:1::","A2","2001:2::","A3","2001:3::","A4","2001:4::"),DEC2HEX(1+COUNTIF($E$3:$E$26,K48)+ COUNTIF($K$3:K48,K48)))</f>
        <v>2001:4::13</v>
      </c>
      <c r="M48" s="7"/>
    </row>
    <row r="49" spans="8:13" ht="18" x14ac:dyDescent="0.2">
      <c r="H49" s="15"/>
      <c r="I49" s="3" t="s">
        <v>105</v>
      </c>
      <c r="J49" s="15" t="s">
        <v>175</v>
      </c>
      <c r="K49" s="8" t="str">
        <f t="shared" ca="1" si="1"/>
        <v>A3</v>
      </c>
      <c r="L49" s="2" t="str">
        <f ca="1">_xlfn.CONCAT(_xlfn.SWITCH(K49,"A1","2001:1::","A2","2001:2::","A3","2001:3::","A4","2001:4::"),DEC2HEX(1+COUNTIF($E$3:$E$26,K49)+ COUNTIF($K$3:K49,K49)))</f>
        <v>2001:3::12</v>
      </c>
      <c r="M49" s="7"/>
    </row>
    <row r="50" spans="8:13" ht="18" x14ac:dyDescent="0.2">
      <c r="H50" s="16"/>
      <c r="I50" s="3" t="s">
        <v>106</v>
      </c>
      <c r="J50" s="16"/>
      <c r="K50" s="8" t="str">
        <f t="shared" ca="1" si="1"/>
        <v>A3</v>
      </c>
      <c r="L50" s="2" t="str">
        <f ca="1">_xlfn.CONCAT(_xlfn.SWITCH(K50,"A1","2001:1::","A2","2001:2::","A3","2001:3::","A4","2001:4::"),DEC2HEX(1+COUNTIF($E$3:$E$26,K50)+ COUNTIF($K$3:K50,K50)))</f>
        <v>2001:3::13</v>
      </c>
      <c r="M50" s="7"/>
    </row>
    <row r="51" spans="8:13" ht="18" x14ac:dyDescent="0.2">
      <c r="H51" s="18" t="s">
        <v>50</v>
      </c>
      <c r="I51" s="3" t="s">
        <v>107</v>
      </c>
      <c r="J51" s="14" t="s">
        <v>176</v>
      </c>
      <c r="K51" s="8" t="str">
        <f t="shared" ca="1" si="1"/>
        <v>A2</v>
      </c>
      <c r="L51" s="2" t="str">
        <f ca="1">_xlfn.CONCAT(_xlfn.SWITCH(K51,"A1","2001:1::","A2","2001:2::","A3","2001:3::","A4","2001:4::"),DEC2HEX(1+COUNTIF($E$3:$E$26,K51)+ COUNTIF($K$3:K51,K51)))</f>
        <v>2001:2::14</v>
      </c>
      <c r="M51" s="7"/>
    </row>
    <row r="52" spans="8:13" ht="18" x14ac:dyDescent="0.2">
      <c r="H52" s="19"/>
      <c r="I52" s="3" t="s">
        <v>108</v>
      </c>
      <c r="J52" s="15"/>
      <c r="K52" s="8" t="str">
        <f t="shared" ca="1" si="1"/>
        <v>A2</v>
      </c>
      <c r="L52" s="2" t="str">
        <f ca="1">_xlfn.CONCAT(_xlfn.SWITCH(K52,"A1","2001:1::","A2","2001:2::","A3","2001:3::","A4","2001:4::"),DEC2HEX(1+COUNTIF($E$3:$E$26,K52)+ COUNTIF($K$3:K52,K52)))</f>
        <v>2001:2::15</v>
      </c>
      <c r="M52" s="7"/>
    </row>
    <row r="53" spans="8:13" ht="18" x14ac:dyDescent="0.2">
      <c r="H53" s="19"/>
      <c r="I53" s="3" t="s">
        <v>109</v>
      </c>
      <c r="J53" s="15" t="s">
        <v>177</v>
      </c>
      <c r="K53" s="8" t="str">
        <f t="shared" ca="1" si="1"/>
        <v>A4</v>
      </c>
      <c r="L53" s="2" t="str">
        <f ca="1">_xlfn.CONCAT(_xlfn.SWITCH(K53,"A1","2001:1::","A2","2001:2::","A3","2001:3::","A4","2001:4::"),DEC2HEX(1+COUNTIF($E$3:$E$26,K53)+ COUNTIF($K$3:K53,K53)))</f>
        <v>2001:4::14</v>
      </c>
      <c r="M53" s="7"/>
    </row>
    <row r="54" spans="8:13" ht="18" x14ac:dyDescent="0.2">
      <c r="H54" s="20"/>
      <c r="I54" s="3" t="s">
        <v>110</v>
      </c>
      <c r="J54" s="16"/>
      <c r="K54" s="8" t="str">
        <f t="shared" ca="1" si="1"/>
        <v>A4</v>
      </c>
      <c r="L54" s="2" t="str">
        <f ca="1">_xlfn.CONCAT(_xlfn.SWITCH(K54,"A1","2001:1::","A2","2001:2::","A3","2001:3::","A4","2001:4::"),DEC2HEX(1+COUNTIF($E$3:$E$26,K54)+ COUNTIF($K$3:K54,K54)))</f>
        <v>2001:4::15</v>
      </c>
      <c r="M54" s="7"/>
    </row>
    <row r="55" spans="8:13" ht="18" x14ac:dyDescent="0.2">
      <c r="H55" s="14" t="s">
        <v>51</v>
      </c>
      <c r="I55" s="3" t="s">
        <v>111</v>
      </c>
      <c r="J55" s="14" t="s">
        <v>178</v>
      </c>
      <c r="K55" s="8" t="str">
        <f t="shared" ca="1" si="1"/>
        <v>A1</v>
      </c>
      <c r="L55" s="2" t="str">
        <f ca="1">_xlfn.CONCAT(_xlfn.SWITCH(K55,"A1","2001:1::","A2","2001:2::","A3","2001:3::","A4","2001:4::"),DEC2HEX(1+COUNTIF($E$3:$E$26,K55)+ COUNTIF($K$3:K55,K55)))</f>
        <v>2001:1::14</v>
      </c>
      <c r="M55" s="7"/>
    </row>
    <row r="56" spans="8:13" ht="18" x14ac:dyDescent="0.2">
      <c r="H56" s="15"/>
      <c r="I56" s="3" t="s">
        <v>112</v>
      </c>
      <c r="J56" s="15"/>
      <c r="K56" s="8" t="str">
        <f t="shared" ca="1" si="1"/>
        <v>A1</v>
      </c>
      <c r="L56" s="2" t="str">
        <f ca="1">_xlfn.CONCAT(_xlfn.SWITCH(K56,"A1","2001:1::","A2","2001:2::","A3","2001:3::","A4","2001:4::"),DEC2HEX(1+COUNTIF($E$3:$E$26,K56)+ COUNTIF($K$3:K56,K56)))</f>
        <v>2001:1::15</v>
      </c>
      <c r="M56" s="7"/>
    </row>
    <row r="57" spans="8:13" ht="18" x14ac:dyDescent="0.2">
      <c r="H57" s="15"/>
      <c r="I57" s="3" t="s">
        <v>113</v>
      </c>
      <c r="J57" s="15" t="s">
        <v>179</v>
      </c>
      <c r="K57" s="8" t="str">
        <f t="shared" ca="1" si="1"/>
        <v>A3</v>
      </c>
      <c r="L57" s="2" t="str">
        <f ca="1">_xlfn.CONCAT(_xlfn.SWITCH(K57,"A1","2001:1::","A2","2001:2::","A3","2001:3::","A4","2001:4::"),DEC2HEX(1+COUNTIF($E$3:$E$26,K57)+ COUNTIF($K$3:K57,K57)))</f>
        <v>2001:3::14</v>
      </c>
      <c r="M57" s="7"/>
    </row>
    <row r="58" spans="8:13" ht="18" x14ac:dyDescent="0.2">
      <c r="H58" s="16"/>
      <c r="I58" s="3" t="s">
        <v>114</v>
      </c>
      <c r="J58" s="16"/>
      <c r="K58" s="8" t="str">
        <f t="shared" ca="1" si="1"/>
        <v>A3</v>
      </c>
      <c r="L58" s="2" t="str">
        <f ca="1">_xlfn.CONCAT(_xlfn.SWITCH(K58,"A1","2001:1::","A2","2001:2::","A3","2001:3::","A4","2001:4::"),DEC2HEX(1+COUNTIF($E$3:$E$26,K58)+ COUNTIF($K$3:K58,K58)))</f>
        <v>2001:3::15</v>
      </c>
      <c r="M58" s="7"/>
    </row>
    <row r="59" spans="8:13" ht="18" x14ac:dyDescent="0.2">
      <c r="H59" s="18" t="s">
        <v>52</v>
      </c>
      <c r="I59" s="3" t="s">
        <v>115</v>
      </c>
      <c r="J59" s="14" t="s">
        <v>180</v>
      </c>
      <c r="K59" s="8" t="str">
        <f t="shared" ca="1" si="1"/>
        <v>A1</v>
      </c>
      <c r="L59" s="2" t="str">
        <f ca="1">_xlfn.CONCAT(_xlfn.SWITCH(K59,"A1","2001:1::","A2","2001:2::","A3","2001:3::","A4","2001:4::"),DEC2HEX(1+COUNTIF($E$3:$E$26,K59)+ COUNTIF($K$3:K59,K59)))</f>
        <v>2001:1::16</v>
      </c>
      <c r="M59" s="7"/>
    </row>
    <row r="60" spans="8:13" ht="18" x14ac:dyDescent="0.2">
      <c r="H60" s="19"/>
      <c r="I60" s="3" t="s">
        <v>116</v>
      </c>
      <c r="J60" s="15"/>
      <c r="K60" s="8" t="str">
        <f t="shared" ca="1" si="1"/>
        <v>A1</v>
      </c>
      <c r="L60" s="2" t="str">
        <f ca="1">_xlfn.CONCAT(_xlfn.SWITCH(K60,"A1","2001:1::","A2","2001:2::","A3","2001:3::","A4","2001:4::"),DEC2HEX(1+COUNTIF($E$3:$E$26,K60)+ COUNTIF($K$3:K60,K60)))</f>
        <v>2001:1::17</v>
      </c>
      <c r="M60" s="7"/>
    </row>
    <row r="61" spans="8:13" ht="18" x14ac:dyDescent="0.2">
      <c r="H61" s="19"/>
      <c r="I61" s="3" t="s">
        <v>117</v>
      </c>
      <c r="J61" s="15" t="s">
        <v>181</v>
      </c>
      <c r="K61" s="8" t="str">
        <f t="shared" ca="1" si="1"/>
        <v>A4</v>
      </c>
      <c r="L61" s="2" t="str">
        <f ca="1">_xlfn.CONCAT(_xlfn.SWITCH(K61,"A1","2001:1::","A2","2001:2::","A3","2001:3::","A4","2001:4::"),DEC2HEX(1+COUNTIF($E$3:$E$26,K61)+ COUNTIF($K$3:K61,K61)))</f>
        <v>2001:4::16</v>
      </c>
      <c r="M61" s="7"/>
    </row>
    <row r="62" spans="8:13" ht="18" x14ac:dyDescent="0.2">
      <c r="H62" s="20"/>
      <c r="I62" s="3" t="s">
        <v>118</v>
      </c>
      <c r="J62" s="16"/>
      <c r="K62" s="8" t="str">
        <f t="shared" ca="1" si="1"/>
        <v>A4</v>
      </c>
      <c r="L62" s="2" t="str">
        <f ca="1">_xlfn.CONCAT(_xlfn.SWITCH(K62,"A1","2001:1::","A2","2001:2::","A3","2001:3::","A4","2001:4::"),DEC2HEX(1+COUNTIF($E$3:$E$26,K62)+ COUNTIF($K$3:K62,K62)))</f>
        <v>2001:4::17</v>
      </c>
      <c r="M62" s="7"/>
    </row>
    <row r="63" spans="8:13" ht="18" x14ac:dyDescent="0.2">
      <c r="H63" s="14" t="s">
        <v>53</v>
      </c>
      <c r="I63" s="3" t="s">
        <v>119</v>
      </c>
      <c r="J63" s="14" t="s">
        <v>182</v>
      </c>
      <c r="K63" s="8" t="str">
        <f t="shared" ca="1" si="1"/>
        <v>A1</v>
      </c>
      <c r="L63" s="2" t="str">
        <f ca="1">_xlfn.CONCAT(_xlfn.SWITCH(K63,"A1","2001:1::","A2","2001:2::","A3","2001:3::","A4","2001:4::"),DEC2HEX(1+COUNTIF($E$3:$E$26,K63)+ COUNTIF($K$3:K63,K63)))</f>
        <v>2001:1::18</v>
      </c>
      <c r="M63" s="7"/>
    </row>
    <row r="64" spans="8:13" ht="18" x14ac:dyDescent="0.2">
      <c r="H64" s="15"/>
      <c r="I64" s="3" t="s">
        <v>120</v>
      </c>
      <c r="J64" s="15"/>
      <c r="K64" s="8" t="str">
        <f t="shared" ca="1" si="1"/>
        <v>A1</v>
      </c>
      <c r="L64" s="2" t="str">
        <f ca="1">_xlfn.CONCAT(_xlfn.SWITCH(K64,"A1","2001:1::","A2","2001:2::","A3","2001:3::","A4","2001:4::"),DEC2HEX(1+COUNTIF($E$3:$E$26,K64)+ COUNTIF($K$3:K64,K64)))</f>
        <v>2001:1::19</v>
      </c>
      <c r="M64" s="7"/>
    </row>
    <row r="65" spans="8:13" ht="18" x14ac:dyDescent="0.2">
      <c r="H65" s="15"/>
      <c r="I65" s="3" t="s">
        <v>121</v>
      </c>
      <c r="J65" s="15" t="s">
        <v>183</v>
      </c>
      <c r="K65" s="8" t="str">
        <f t="shared" ca="1" si="1"/>
        <v>A2</v>
      </c>
      <c r="L65" s="2" t="str">
        <f ca="1">_xlfn.CONCAT(_xlfn.SWITCH(K65,"A1","2001:1::","A2","2001:2::","A3","2001:3::","A4","2001:4::"),DEC2HEX(1+COUNTIF($E$3:$E$26,K65)+ COUNTIF($K$3:K65,K65)))</f>
        <v>2001:2::16</v>
      </c>
      <c r="M65" s="7"/>
    </row>
    <row r="66" spans="8:13" ht="18" x14ac:dyDescent="0.2">
      <c r="H66" s="16"/>
      <c r="I66" s="3" t="s">
        <v>122</v>
      </c>
      <c r="J66" s="16"/>
      <c r="K66" s="8" t="str">
        <f t="shared" ca="1" si="1"/>
        <v>A2</v>
      </c>
      <c r="L66" s="2" t="str">
        <f ca="1">_xlfn.CONCAT(_xlfn.SWITCH(K66,"A1","2001:1::","A2","2001:2::","A3","2001:3::","A4","2001:4::"),DEC2HEX(1+COUNTIF($E$3:$E$26,K66)+ COUNTIF($K$3:K66,K66)))</f>
        <v>2001:2::17</v>
      </c>
      <c r="M66" s="7"/>
    </row>
    <row r="67" spans="8:13" ht="18" x14ac:dyDescent="0.2">
      <c r="H67" s="18" t="s">
        <v>54</v>
      </c>
      <c r="I67" s="3" t="s">
        <v>123</v>
      </c>
      <c r="J67" s="14" t="s">
        <v>184</v>
      </c>
      <c r="K67" s="8" t="str">
        <f t="shared" ca="1" si="1"/>
        <v>A3</v>
      </c>
      <c r="L67" s="2" t="str">
        <f ca="1">_xlfn.CONCAT(_xlfn.SWITCH(K67,"A1","2001:1::","A2","2001:2::","A3","2001:3::","A4","2001:4::"),DEC2HEX(1+COUNTIF($E$3:$E$26,K67)+ COUNTIF($K$3:K67,K67)))</f>
        <v>2001:3::16</v>
      </c>
      <c r="M67" s="7"/>
    </row>
    <row r="68" spans="8:13" ht="18" x14ac:dyDescent="0.2">
      <c r="H68" s="19"/>
      <c r="I68" s="3" t="s">
        <v>124</v>
      </c>
      <c r="J68" s="15"/>
      <c r="K68" s="8" t="str">
        <f t="shared" ref="K68:K86" ca="1" si="2">RIGHT(IF(ISBLANK(J68),INDIRECT("J"&amp;ROW()-1),J68),2)</f>
        <v>A3</v>
      </c>
      <c r="L68" s="2" t="str">
        <f ca="1">_xlfn.CONCAT(_xlfn.SWITCH(K68,"A1","2001:1::","A2","2001:2::","A3","2001:3::","A4","2001:4::"),DEC2HEX(1+COUNTIF($E$3:$E$26,K68)+ COUNTIF($K$3:K68,K68)))</f>
        <v>2001:3::17</v>
      </c>
      <c r="M68" s="7"/>
    </row>
    <row r="69" spans="8:13" ht="18" x14ac:dyDescent="0.2">
      <c r="H69" s="19"/>
      <c r="I69" s="3" t="s">
        <v>125</v>
      </c>
      <c r="J69" s="15" t="s">
        <v>185</v>
      </c>
      <c r="K69" s="8" t="str">
        <f t="shared" ca="1" si="2"/>
        <v>A4</v>
      </c>
      <c r="L69" s="2" t="str">
        <f ca="1">_xlfn.CONCAT(_xlfn.SWITCH(K69,"A1","2001:1::","A2","2001:2::","A3","2001:3::","A4","2001:4::"),DEC2HEX(1+COUNTIF($E$3:$E$26,K69)+ COUNTIF($K$3:K69,K69)))</f>
        <v>2001:4::18</v>
      </c>
      <c r="M69" s="7"/>
    </row>
    <row r="70" spans="8:13" ht="18" x14ac:dyDescent="0.2">
      <c r="H70" s="20"/>
      <c r="I70" s="3" t="s">
        <v>126</v>
      </c>
      <c r="J70" s="16"/>
      <c r="K70" s="8" t="str">
        <f t="shared" ca="1" si="2"/>
        <v>A4</v>
      </c>
      <c r="L70" s="2" t="str">
        <f ca="1">_xlfn.CONCAT(_xlfn.SWITCH(K70,"A1","2001:1::","A2","2001:2::","A3","2001:3::","A4","2001:4::"),DEC2HEX(1+COUNTIF($E$3:$E$26,K70)+ COUNTIF($K$3:K70,K70)))</f>
        <v>2001:4::19</v>
      </c>
      <c r="M70" s="7"/>
    </row>
    <row r="71" spans="8:13" ht="18" x14ac:dyDescent="0.2">
      <c r="H71" s="14" t="s">
        <v>55</v>
      </c>
      <c r="I71" s="3" t="s">
        <v>127</v>
      </c>
      <c r="J71" s="14" t="s">
        <v>186</v>
      </c>
      <c r="K71" s="8" t="str">
        <f t="shared" ca="1" si="2"/>
        <v>A4</v>
      </c>
      <c r="L71" s="2" t="str">
        <f ca="1">_xlfn.CONCAT(_xlfn.SWITCH(K71,"A1","2001:1::","A2","2001:2::","A3","2001:3::","A4","2001:4::"),DEC2HEX(1+COUNTIF($E$3:$E$26,K71)+ COUNTIF($K$3:K71,K71)))</f>
        <v>2001:4::1A</v>
      </c>
      <c r="M71" s="7"/>
    </row>
    <row r="72" spans="8:13" ht="18" x14ac:dyDescent="0.2">
      <c r="H72" s="15"/>
      <c r="I72" s="3" t="s">
        <v>128</v>
      </c>
      <c r="J72" s="15"/>
      <c r="K72" s="8" t="str">
        <f t="shared" ca="1" si="2"/>
        <v>A4</v>
      </c>
      <c r="L72" s="2" t="str">
        <f ca="1">_xlfn.CONCAT(_xlfn.SWITCH(K72,"A1","2001:1::","A2","2001:2::","A3","2001:3::","A4","2001:4::"),DEC2HEX(1+COUNTIF($E$3:$E$26,K72)+ COUNTIF($K$3:K72,K72)))</f>
        <v>2001:4::1B</v>
      </c>
      <c r="M72" s="7"/>
    </row>
    <row r="73" spans="8:13" ht="18" x14ac:dyDescent="0.2">
      <c r="H73" s="15"/>
      <c r="I73" s="3" t="s">
        <v>129</v>
      </c>
      <c r="J73" s="15" t="s">
        <v>187</v>
      </c>
      <c r="K73" s="8" t="str">
        <f t="shared" ca="1" si="2"/>
        <v>A3</v>
      </c>
      <c r="L73" s="2" t="str">
        <f ca="1">_xlfn.CONCAT(_xlfn.SWITCH(K73,"A1","2001:1::","A2","2001:2::","A3","2001:3::","A4","2001:4::"),DEC2HEX(1+COUNTIF($E$3:$E$26,K73)+ COUNTIF($K$3:K73,K73)))</f>
        <v>2001:3::18</v>
      </c>
      <c r="M73" s="7"/>
    </row>
    <row r="74" spans="8:13" ht="18" x14ac:dyDescent="0.2">
      <c r="H74" s="16"/>
      <c r="I74" s="3" t="s">
        <v>130</v>
      </c>
      <c r="J74" s="16"/>
      <c r="K74" s="8" t="str">
        <f t="shared" ca="1" si="2"/>
        <v>A3</v>
      </c>
      <c r="L74" s="2" t="str">
        <f ca="1">_xlfn.CONCAT(_xlfn.SWITCH(K74,"A1","2001:1::","A2","2001:2::","A3","2001:3::","A4","2001:4::"),DEC2HEX(1+COUNTIF($E$3:$E$26,K74)+ COUNTIF($K$3:K74,K74)))</f>
        <v>2001:3::19</v>
      </c>
      <c r="M74" s="7"/>
    </row>
    <row r="75" spans="8:13" ht="18" x14ac:dyDescent="0.2">
      <c r="H75" s="18" t="s">
        <v>56</v>
      </c>
      <c r="I75" s="3" t="s">
        <v>131</v>
      </c>
      <c r="J75" s="14" t="s">
        <v>188</v>
      </c>
      <c r="K75" s="8" t="str">
        <f t="shared" ca="1" si="2"/>
        <v>A2</v>
      </c>
      <c r="L75" s="2" t="str">
        <f ca="1">_xlfn.CONCAT(_xlfn.SWITCH(K75,"A1","2001:1::","A2","2001:2::","A3","2001:3::","A4","2001:4::"),DEC2HEX(1+COUNTIF($E$3:$E$26,K75)+ COUNTIF($K$3:K75,K75)))</f>
        <v>2001:2::18</v>
      </c>
      <c r="M75" s="7"/>
    </row>
    <row r="76" spans="8:13" ht="18" x14ac:dyDescent="0.2">
      <c r="H76" s="19"/>
      <c r="I76" s="3" t="s">
        <v>132</v>
      </c>
      <c r="J76" s="15"/>
      <c r="K76" s="8" t="str">
        <f t="shared" ca="1" si="2"/>
        <v>A2</v>
      </c>
      <c r="L76" s="2" t="str">
        <f ca="1">_xlfn.CONCAT(_xlfn.SWITCH(K76,"A1","2001:1::","A2","2001:2::","A3","2001:3::","A4","2001:4::"),DEC2HEX(1+COUNTIF($E$3:$E$26,K76)+ COUNTIF($K$3:K76,K76)))</f>
        <v>2001:2::19</v>
      </c>
      <c r="M76" s="7"/>
    </row>
    <row r="77" spans="8:13" ht="18" x14ac:dyDescent="0.2">
      <c r="H77" s="19"/>
      <c r="I77" s="3" t="s">
        <v>133</v>
      </c>
      <c r="J77" s="15" t="s">
        <v>189</v>
      </c>
      <c r="K77" s="8" t="str">
        <f t="shared" ca="1" si="2"/>
        <v>A1</v>
      </c>
      <c r="L77" s="2" t="str">
        <f ca="1">_xlfn.CONCAT(_xlfn.SWITCH(K77,"A1","2001:1::","A2","2001:2::","A3","2001:3::","A4","2001:4::"),DEC2HEX(1+COUNTIF($E$3:$E$26,K77)+ COUNTIF($K$3:K77,K77)))</f>
        <v>2001:1::1A</v>
      </c>
      <c r="M77" s="7"/>
    </row>
    <row r="78" spans="8:13" ht="18" x14ac:dyDescent="0.2">
      <c r="H78" s="20"/>
      <c r="I78" s="3" t="s">
        <v>134</v>
      </c>
      <c r="J78" s="16"/>
      <c r="K78" s="8" t="str">
        <f t="shared" ca="1" si="2"/>
        <v>A1</v>
      </c>
      <c r="L78" s="2" t="str">
        <f ca="1">_xlfn.CONCAT(_xlfn.SWITCH(K78,"A1","2001:1::","A2","2001:2::","A3","2001:3::","A4","2001:4::"),DEC2HEX(1+COUNTIF($E$3:$E$26,K78)+ COUNTIF($K$3:K78,K78)))</f>
        <v>2001:1::1B</v>
      </c>
      <c r="M78" s="7"/>
    </row>
    <row r="79" spans="8:13" ht="18" x14ac:dyDescent="0.2">
      <c r="H79" s="14" t="s">
        <v>57</v>
      </c>
      <c r="I79" s="3" t="s">
        <v>135</v>
      </c>
      <c r="J79" s="14" t="s">
        <v>190</v>
      </c>
      <c r="K79" s="8" t="str">
        <f t="shared" ca="1" si="2"/>
        <v>A3</v>
      </c>
      <c r="L79" s="2" t="str">
        <f ca="1">_xlfn.CONCAT(_xlfn.SWITCH(K79,"A1","2001:1::","A2","2001:2::","A3","2001:3::","A4","2001:4::"),DEC2HEX(1+COUNTIF($E$3:$E$26,K79)+ COUNTIF($K$3:K79,K79)))</f>
        <v>2001:3::1A</v>
      </c>
      <c r="M79" s="7"/>
    </row>
    <row r="80" spans="8:13" ht="18" x14ac:dyDescent="0.2">
      <c r="H80" s="15"/>
      <c r="I80" s="3" t="s">
        <v>136</v>
      </c>
      <c r="J80" s="15"/>
      <c r="K80" s="8" t="str">
        <f t="shared" ca="1" si="2"/>
        <v>A3</v>
      </c>
      <c r="L80" s="2" t="str">
        <f ca="1">_xlfn.CONCAT(_xlfn.SWITCH(K80,"A1","2001:1::","A2","2001:2::","A3","2001:3::","A4","2001:4::"),DEC2HEX(1+COUNTIF($E$3:$E$26,K80)+ COUNTIF($K$3:K80,K80)))</f>
        <v>2001:3::1B</v>
      </c>
      <c r="M80" s="7"/>
    </row>
    <row r="81" spans="8:13" ht="18" x14ac:dyDescent="0.2">
      <c r="H81" s="15"/>
      <c r="I81" s="3" t="s">
        <v>137</v>
      </c>
      <c r="J81" s="15" t="s">
        <v>194</v>
      </c>
      <c r="K81" s="8" t="str">
        <f t="shared" ca="1" si="2"/>
        <v>A4</v>
      </c>
      <c r="L81" s="2" t="str">
        <f ca="1">_xlfn.CONCAT(_xlfn.SWITCH(K81,"A1","2001:1::","A2","2001:2::","A3","2001:3::","A4","2001:4::"),DEC2HEX(1+COUNTIF($E$3:$E$26,K81)+ COUNTIF($K$3:K81,K81)))</f>
        <v>2001:4::1C</v>
      </c>
      <c r="M81" s="7"/>
    </row>
    <row r="82" spans="8:13" ht="18" x14ac:dyDescent="0.2">
      <c r="H82" s="16"/>
      <c r="I82" s="3" t="s">
        <v>138</v>
      </c>
      <c r="J82" s="16"/>
      <c r="K82" s="8" t="str">
        <f t="shared" ca="1" si="2"/>
        <v>A4</v>
      </c>
      <c r="L82" s="2" t="str">
        <f ca="1">_xlfn.CONCAT(_xlfn.SWITCH(K82,"A1","2001:1::","A2","2001:2::","A3","2001:3::","A4","2001:4::"),DEC2HEX(1+COUNTIF($E$3:$E$26,K82)+ COUNTIF($K$3:K82,K82)))</f>
        <v>2001:4::1D</v>
      </c>
      <c r="M82" s="7"/>
    </row>
    <row r="83" spans="8:13" ht="18" x14ac:dyDescent="0.2">
      <c r="H83" s="18" t="s">
        <v>58</v>
      </c>
      <c r="I83" s="3" t="s">
        <v>139</v>
      </c>
      <c r="J83" s="14" t="s">
        <v>191</v>
      </c>
      <c r="K83" s="8" t="str">
        <f t="shared" ca="1" si="2"/>
        <v>A2</v>
      </c>
      <c r="L83" s="2" t="str">
        <f ca="1">_xlfn.CONCAT(_xlfn.SWITCH(K83,"A1","2001:1::","A2","2001:2::","A3","2001:3::","A4","2001:4::"),DEC2HEX(1+COUNTIF($E$3:$E$26,K83)+ COUNTIF($K$3:K83,K83)))</f>
        <v>2001:2::1A</v>
      </c>
      <c r="M83" s="7"/>
    </row>
    <row r="84" spans="8:13" ht="18" x14ac:dyDescent="0.2">
      <c r="H84" s="19"/>
      <c r="I84" s="3" t="s">
        <v>140</v>
      </c>
      <c r="J84" s="15"/>
      <c r="K84" s="8" t="str">
        <f t="shared" ca="1" si="2"/>
        <v>A2</v>
      </c>
      <c r="L84" s="2" t="str">
        <f ca="1">_xlfn.CONCAT(_xlfn.SWITCH(K84,"A1","2001:1::","A2","2001:2::","A3","2001:3::","A4","2001:4::"),DEC2HEX(1+COUNTIF($E$3:$E$26,K84)+ COUNTIF($K$3:K84,K84)))</f>
        <v>2001:2::1B</v>
      </c>
      <c r="M84" s="7"/>
    </row>
    <row r="85" spans="8:13" ht="18" x14ac:dyDescent="0.2">
      <c r="H85" s="19"/>
      <c r="I85" s="3" t="s">
        <v>141</v>
      </c>
      <c r="J85" s="15" t="s">
        <v>192</v>
      </c>
      <c r="K85" s="8" t="str">
        <f t="shared" ca="1" si="2"/>
        <v>A1</v>
      </c>
      <c r="L85" s="2" t="str">
        <f ca="1">_xlfn.CONCAT(_xlfn.SWITCH(K85,"A1","2001:1::","A2","2001:2::","A3","2001:3::","A4","2001:4::"),DEC2HEX(1+COUNTIF($E$3:$E$26,K85)+ COUNTIF($K$3:K85,K85)))</f>
        <v>2001:1::1C</v>
      </c>
      <c r="M85" s="7"/>
    </row>
    <row r="86" spans="8:13" ht="18" x14ac:dyDescent="0.2">
      <c r="H86" s="20"/>
      <c r="I86" s="3" t="s">
        <v>145</v>
      </c>
      <c r="J86" s="16"/>
      <c r="K86" s="8" t="str">
        <f t="shared" ca="1" si="2"/>
        <v>A1</v>
      </c>
      <c r="L86" s="2" t="str">
        <f ca="1">_xlfn.CONCAT(_xlfn.SWITCH(K86,"A1","2001:1::","A2","2001:2::","A3","2001:3::","A4","2001:4::"),DEC2HEX(1+COUNTIF($E$3:$E$26,K86)+ COUNTIF($K$3:K86,K86)))</f>
        <v>2001:1::1D</v>
      </c>
      <c r="M86" s="7"/>
    </row>
  </sheetData>
  <mergeCells count="84">
    <mergeCell ref="B2:F2"/>
    <mergeCell ref="H2:L2"/>
    <mergeCell ref="N2:Q2"/>
    <mergeCell ref="B3:B6"/>
    <mergeCell ref="D3:D4"/>
    <mergeCell ref="H3:H6"/>
    <mergeCell ref="J3:J4"/>
    <mergeCell ref="D5:D6"/>
    <mergeCell ref="J5:J6"/>
    <mergeCell ref="B7:B10"/>
    <mergeCell ref="D7:D8"/>
    <mergeCell ref="H7:H10"/>
    <mergeCell ref="J7:J8"/>
    <mergeCell ref="D9:D10"/>
    <mergeCell ref="J9:J10"/>
    <mergeCell ref="B11:B14"/>
    <mergeCell ref="D11:D12"/>
    <mergeCell ref="H11:H14"/>
    <mergeCell ref="J11:J12"/>
    <mergeCell ref="D13:D14"/>
    <mergeCell ref="J13:J14"/>
    <mergeCell ref="B15:B18"/>
    <mergeCell ref="D15:D16"/>
    <mergeCell ref="H15:H18"/>
    <mergeCell ref="J15:J16"/>
    <mergeCell ref="D17:D18"/>
    <mergeCell ref="J17:J18"/>
    <mergeCell ref="B19:B22"/>
    <mergeCell ref="D19:D20"/>
    <mergeCell ref="H19:H22"/>
    <mergeCell ref="J19:J20"/>
    <mergeCell ref="D21:D22"/>
    <mergeCell ref="J21:J22"/>
    <mergeCell ref="B23:B26"/>
    <mergeCell ref="D23:D24"/>
    <mergeCell ref="H23:H26"/>
    <mergeCell ref="J23:J24"/>
    <mergeCell ref="D25:D26"/>
    <mergeCell ref="J25:J26"/>
    <mergeCell ref="H27:H30"/>
    <mergeCell ref="J27:J28"/>
    <mergeCell ref="J29:J30"/>
    <mergeCell ref="H31:H34"/>
    <mergeCell ref="J31:J32"/>
    <mergeCell ref="J33:J34"/>
    <mergeCell ref="H35:H38"/>
    <mergeCell ref="J35:J36"/>
    <mergeCell ref="J37:J38"/>
    <mergeCell ref="H39:H42"/>
    <mergeCell ref="J39:J40"/>
    <mergeCell ref="J41:J42"/>
    <mergeCell ref="H43:H46"/>
    <mergeCell ref="J43:J44"/>
    <mergeCell ref="J45:J46"/>
    <mergeCell ref="H47:H50"/>
    <mergeCell ref="J47:J48"/>
    <mergeCell ref="J49:J50"/>
    <mergeCell ref="H51:H54"/>
    <mergeCell ref="J51:J52"/>
    <mergeCell ref="J53:J54"/>
    <mergeCell ref="H55:H58"/>
    <mergeCell ref="J55:J56"/>
    <mergeCell ref="J57:J58"/>
    <mergeCell ref="H59:H62"/>
    <mergeCell ref="J59:J60"/>
    <mergeCell ref="J61:J62"/>
    <mergeCell ref="H63:H66"/>
    <mergeCell ref="J63:J64"/>
    <mergeCell ref="J65:J66"/>
    <mergeCell ref="H67:H70"/>
    <mergeCell ref="J67:J68"/>
    <mergeCell ref="J69:J70"/>
    <mergeCell ref="H71:H74"/>
    <mergeCell ref="J71:J72"/>
    <mergeCell ref="J73:J74"/>
    <mergeCell ref="H83:H86"/>
    <mergeCell ref="J83:J84"/>
    <mergeCell ref="J85:J86"/>
    <mergeCell ref="H75:H78"/>
    <mergeCell ref="J75:J76"/>
    <mergeCell ref="J77:J78"/>
    <mergeCell ref="H79:H82"/>
    <mergeCell ref="J79:J80"/>
    <mergeCell ref="J81:J82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IPV4</vt:lpstr>
      <vt:lpstr>IPV6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2019-10-11T15:19:06Z</dcterms:modified>
</cp:coreProperties>
</file>