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ivanbotero/Projects/interconexion/taller-2/"/>
    </mc:Choice>
  </mc:AlternateContent>
  <xr:revisionPtr revIDLastSave="0" documentId="13_ncr:1_{BAAC36B6-6DA0-454A-9284-342CED03E23D}" xr6:coauthVersionLast="45" xr6:coauthVersionMax="45" xr10:uidLastSave="{00000000-0000-0000-0000-000000000000}"/>
  <bookViews>
    <workbookView xWindow="25600" yWindow="0" windowWidth="27320" windowHeight="15360" activeTab="3" xr2:uid="{00000000-000D-0000-FFFF-FFFF00000000}"/>
  </bookViews>
  <sheets>
    <sheet name="ipv4" sheetId="1" r:id="rId1"/>
    <sheet name="ipv6" sheetId="2" r:id="rId2"/>
    <sheet name="Enrutamiento4E1" sheetId="3" r:id="rId3"/>
    <sheet name="Enrutamiento4E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1" i="4"/>
  <c r="D22" i="4"/>
  <c r="E2" i="4"/>
  <c r="E10" i="4"/>
  <c r="E18" i="4"/>
  <c r="E26" i="4"/>
  <c r="E34" i="4"/>
  <c r="E25" i="4"/>
  <c r="E3" i="4"/>
  <c r="E11" i="4"/>
  <c r="E19" i="4"/>
  <c r="E27" i="4"/>
  <c r="E9" i="4"/>
  <c r="E5" i="4"/>
  <c r="E14" i="4"/>
  <c r="E30" i="4"/>
  <c r="E17" i="4"/>
  <c r="E7" i="4"/>
  <c r="E23" i="4"/>
  <c r="E20" i="4"/>
  <c r="E21" i="4"/>
  <c r="E24" i="4"/>
  <c r="E29" i="4"/>
  <c r="E28" i="4"/>
  <c r="E13" i="4"/>
  <c r="E8" i="4"/>
  <c r="E16" i="4"/>
  <c r="E6" i="4"/>
  <c r="E22" i="4"/>
  <c r="E33" i="4"/>
  <c r="E15" i="4"/>
  <c r="E31" i="4"/>
  <c r="E32" i="4"/>
  <c r="E4" i="4"/>
  <c r="E12" i="4"/>
  <c r="E1" i="4"/>
  <c r="C23" i="4" l="1"/>
  <c r="D23" i="4" s="1"/>
  <c r="D28" i="4"/>
  <c r="C29" i="4"/>
  <c r="C30" i="4" s="1"/>
  <c r="D29" i="4"/>
  <c r="C2" i="4"/>
  <c r="D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1" i="3"/>
  <c r="D7" i="3"/>
  <c r="D14" i="3"/>
  <c r="D1" i="3"/>
  <c r="C8" i="3"/>
  <c r="D8" i="3" s="1"/>
  <c r="C2" i="3"/>
  <c r="D2" i="3" s="1"/>
  <c r="F1" i="4"/>
  <c r="F34" i="4"/>
  <c r="F18" i="4"/>
  <c r="F2" i="4"/>
  <c r="F25" i="4"/>
  <c r="F17" i="4"/>
  <c r="F11" i="4"/>
  <c r="F16" i="4"/>
  <c r="F27" i="4"/>
  <c r="F28" i="4"/>
  <c r="F32" i="4"/>
  <c r="F30" i="4"/>
  <c r="F22" i="4"/>
  <c r="F14" i="4"/>
  <c r="F6" i="4"/>
  <c r="F12" i="4"/>
  <c r="F29" i="4"/>
  <c r="F21" i="4"/>
  <c r="F13" i="4"/>
  <c r="F5" i="4"/>
  <c r="F23" i="4"/>
  <c r="F20" i="4"/>
  <c r="F4" i="4"/>
  <c r="F26" i="4"/>
  <c r="F10" i="4"/>
  <c r="F33" i="4"/>
  <c r="F9" i="4"/>
  <c r="F3" i="4"/>
  <c r="F31" i="4"/>
  <c r="F15" i="4"/>
  <c r="F7" i="4"/>
  <c r="F24" i="4"/>
  <c r="F19" i="4"/>
  <c r="F8" i="4"/>
  <c r="E2" i="3"/>
  <c r="E10" i="3"/>
  <c r="E18" i="3"/>
  <c r="E26" i="3"/>
  <c r="E34" i="3"/>
  <c r="F15" i="3"/>
  <c r="F31" i="3"/>
  <c r="E17" i="3"/>
  <c r="F32" i="3"/>
  <c r="E7" i="3"/>
  <c r="E15" i="3"/>
  <c r="E23" i="3"/>
  <c r="E31" i="3"/>
  <c r="F11" i="3"/>
  <c r="F27" i="3"/>
  <c r="E13" i="3"/>
  <c r="E29" i="3"/>
  <c r="E33" i="3"/>
  <c r="E6" i="3"/>
  <c r="E22" i="3"/>
  <c r="F7" i="3"/>
  <c r="F8" i="3"/>
  <c r="E3" i="3"/>
  <c r="E19" i="3"/>
  <c r="F3" i="3"/>
  <c r="F4" i="3"/>
  <c r="F9" i="3"/>
  <c r="F25" i="3"/>
  <c r="E12" i="3"/>
  <c r="F12" i="3"/>
  <c r="F6" i="3"/>
  <c r="F22" i="3"/>
  <c r="E8" i="3"/>
  <c r="E9" i="3"/>
  <c r="F5" i="3"/>
  <c r="F13" i="3"/>
  <c r="F21" i="3"/>
  <c r="F29" i="3"/>
  <c r="E4" i="3"/>
  <c r="E20" i="3"/>
  <c r="E5" i="3"/>
  <c r="F20" i="3"/>
  <c r="F2" i="3"/>
  <c r="F10" i="3"/>
  <c r="F18" i="3"/>
  <c r="F26" i="3"/>
  <c r="F34" i="3"/>
  <c r="E16" i="3"/>
  <c r="E32" i="3"/>
  <c r="F16" i="3"/>
  <c r="E14" i="3"/>
  <c r="E30" i="3"/>
  <c r="F23" i="3"/>
  <c r="F24" i="3"/>
  <c r="E11" i="3"/>
  <c r="E27" i="3"/>
  <c r="F19" i="3"/>
  <c r="E21" i="3"/>
  <c r="F17" i="3"/>
  <c r="F33" i="3"/>
  <c r="E28" i="3"/>
  <c r="F28" i="3"/>
  <c r="F14" i="3"/>
  <c r="F30" i="3"/>
  <c r="E24" i="3"/>
  <c r="E25" i="3"/>
  <c r="F1" i="3"/>
  <c r="E1" i="3"/>
  <c r="H24" i="4" l="1"/>
  <c r="H31" i="4"/>
  <c r="H33" i="4"/>
  <c r="H26" i="4"/>
  <c r="H23" i="4"/>
  <c r="H21" i="4"/>
  <c r="H29" i="4"/>
  <c r="H22" i="4"/>
  <c r="I22" i="4" s="1"/>
  <c r="H30" i="4"/>
  <c r="H32" i="4"/>
  <c r="H28" i="4"/>
  <c r="I28" i="4" s="1"/>
  <c r="H27" i="4"/>
  <c r="H25" i="4"/>
  <c r="H34" i="4"/>
  <c r="H8" i="4"/>
  <c r="H19" i="4"/>
  <c r="H7" i="4"/>
  <c r="H15" i="4"/>
  <c r="H3" i="4"/>
  <c r="H9" i="4"/>
  <c r="H10" i="4"/>
  <c r="H4" i="4"/>
  <c r="H20" i="4"/>
  <c r="I23" i="4"/>
  <c r="H5" i="4"/>
  <c r="H13" i="4"/>
  <c r="I29" i="4"/>
  <c r="H12" i="4"/>
  <c r="H6" i="4"/>
  <c r="H14" i="4"/>
  <c r="I30" i="4"/>
  <c r="H16" i="4"/>
  <c r="H11" i="4"/>
  <c r="H17" i="4"/>
  <c r="H2" i="4"/>
  <c r="H18" i="4"/>
  <c r="C3" i="4"/>
  <c r="C4" i="4" s="1"/>
  <c r="D30" i="4"/>
  <c r="C31" i="4"/>
  <c r="C24" i="4"/>
  <c r="H1" i="4"/>
  <c r="I1" i="4" s="1"/>
  <c r="D2" i="4"/>
  <c r="H25" i="3"/>
  <c r="I25" i="3" s="1"/>
  <c r="H24" i="3"/>
  <c r="I24" i="3" s="1"/>
  <c r="H28" i="3"/>
  <c r="I28" i="3" s="1"/>
  <c r="H21" i="3"/>
  <c r="I21" i="3" s="1"/>
  <c r="H27" i="3"/>
  <c r="I27" i="3" s="1"/>
  <c r="H11" i="3"/>
  <c r="I11" i="3" s="1"/>
  <c r="H30" i="3"/>
  <c r="I30" i="3" s="1"/>
  <c r="H14" i="3"/>
  <c r="I14" i="3" s="1"/>
  <c r="H32" i="3"/>
  <c r="I32" i="3" s="1"/>
  <c r="H16" i="3"/>
  <c r="I16" i="3" s="1"/>
  <c r="H5" i="3"/>
  <c r="I5" i="3" s="1"/>
  <c r="H20" i="3"/>
  <c r="I20" i="3" s="1"/>
  <c r="H4" i="3"/>
  <c r="I4" i="3" s="1"/>
  <c r="H9" i="3"/>
  <c r="I9" i="3" s="1"/>
  <c r="H8" i="3"/>
  <c r="I8" i="3" s="1"/>
  <c r="H12" i="3"/>
  <c r="I12" i="3" s="1"/>
  <c r="H19" i="3"/>
  <c r="I19" i="3" s="1"/>
  <c r="H3" i="3"/>
  <c r="I3" i="3" s="1"/>
  <c r="H22" i="3"/>
  <c r="I22" i="3" s="1"/>
  <c r="H6" i="3"/>
  <c r="I6" i="3" s="1"/>
  <c r="H33" i="3"/>
  <c r="I33" i="3" s="1"/>
  <c r="H29" i="3"/>
  <c r="I29" i="3" s="1"/>
  <c r="H13" i="3"/>
  <c r="I13" i="3" s="1"/>
  <c r="H31" i="3"/>
  <c r="I31" i="3" s="1"/>
  <c r="H23" i="3"/>
  <c r="I23" i="3" s="1"/>
  <c r="H15" i="3"/>
  <c r="I15" i="3" s="1"/>
  <c r="H7" i="3"/>
  <c r="I7" i="3" s="1"/>
  <c r="H17" i="3"/>
  <c r="I17" i="3" s="1"/>
  <c r="H34" i="3"/>
  <c r="I34" i="3" s="1"/>
  <c r="H26" i="3"/>
  <c r="I26" i="3" s="1"/>
  <c r="H18" i="3"/>
  <c r="I18" i="3" s="1"/>
  <c r="H10" i="3"/>
  <c r="I10" i="3" s="1"/>
  <c r="H2" i="3"/>
  <c r="I2" i="3" s="1"/>
  <c r="C9" i="3"/>
  <c r="C3" i="3"/>
  <c r="C15" i="3"/>
  <c r="D15" i="3" s="1"/>
  <c r="I2" i="4" l="1"/>
  <c r="D3" i="4"/>
  <c r="I3" i="4" s="1"/>
  <c r="D31" i="4"/>
  <c r="I31" i="4" s="1"/>
  <c r="C32" i="4"/>
  <c r="D24" i="4"/>
  <c r="I24" i="4" s="1"/>
  <c r="C25" i="4"/>
  <c r="D4" i="4"/>
  <c r="I4" i="4" s="1"/>
  <c r="C5" i="4"/>
  <c r="H1" i="3"/>
  <c r="I1" i="3" s="1"/>
  <c r="C10" i="3"/>
  <c r="D9" i="3"/>
  <c r="C4" i="3"/>
  <c r="D3" i="3"/>
  <c r="C16" i="3"/>
  <c r="D16" i="3" s="1"/>
  <c r="X5" i="2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D25" i="4" l="1"/>
  <c r="I25" i="4" s="1"/>
  <c r="C26" i="4"/>
  <c r="D32" i="4"/>
  <c r="I32" i="4" s="1"/>
  <c r="C33" i="4"/>
  <c r="C6" i="4"/>
  <c r="D5" i="4"/>
  <c r="I5" i="4" s="1"/>
  <c r="C5" i="3"/>
  <c r="D4" i="3"/>
  <c r="C11" i="3"/>
  <c r="D10" i="3"/>
  <c r="C17" i="3"/>
  <c r="D17" i="3" s="1"/>
  <c r="N17" i="2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D33" i="4" l="1"/>
  <c r="I33" i="4" s="1"/>
  <c r="C34" i="4"/>
  <c r="D34" i="4" s="1"/>
  <c r="I34" i="4" s="1"/>
  <c r="D26" i="4"/>
  <c r="I26" i="4" s="1"/>
  <c r="C27" i="4"/>
  <c r="D27" i="4" s="1"/>
  <c r="I27" i="4" s="1"/>
  <c r="C7" i="4"/>
  <c r="D6" i="4"/>
  <c r="I6" i="4" s="1"/>
  <c r="C12" i="3"/>
  <c r="D11" i="3"/>
  <c r="C6" i="3"/>
  <c r="D6" i="3" s="1"/>
  <c r="D5" i="3"/>
  <c r="C18" i="3"/>
  <c r="D18" i="3" s="1"/>
  <c r="B8" i="2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C8" i="4" l="1"/>
  <c r="D7" i="4"/>
  <c r="I7" i="4" s="1"/>
  <c r="C13" i="3"/>
  <c r="D13" i="3" s="1"/>
  <c r="D12" i="3"/>
  <c r="C19" i="3"/>
  <c r="D19" i="3" s="1"/>
  <c r="W27" i="2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D8" i="4" l="1"/>
  <c r="I8" i="4" s="1"/>
  <c r="C9" i="4"/>
  <c r="C20" i="3"/>
  <c r="D20" i="3" s="1"/>
  <c r="N30" i="2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C10" i="4" l="1"/>
  <c r="D9" i="4"/>
  <c r="I9" i="4" s="1"/>
  <c r="C21" i="3"/>
  <c r="D21" i="3" s="1"/>
  <c r="W33" i="2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C11" i="4" l="1"/>
  <c r="D10" i="4"/>
  <c r="I10" i="4" s="1"/>
  <c r="C22" i="3"/>
  <c r="D22" i="3" s="1"/>
  <c r="W39" i="2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C12" i="4" l="1"/>
  <c r="D11" i="4"/>
  <c r="I11" i="4" s="1"/>
  <c r="C23" i="3"/>
  <c r="D23" i="3" s="1"/>
  <c r="W48" i="2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D12" i="4" l="1"/>
  <c r="I12" i="4" s="1"/>
  <c r="C13" i="4"/>
  <c r="C24" i="3"/>
  <c r="D24" i="3" s="1"/>
  <c r="W47" i="2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C14" i="4" l="1"/>
  <c r="D13" i="4"/>
  <c r="I13" i="4" s="1"/>
  <c r="C25" i="3"/>
  <c r="D25" i="3" s="1"/>
  <c r="T15" i="2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C15" i="4" l="1"/>
  <c r="D14" i="4"/>
  <c r="I14" i="4" s="1"/>
  <c r="C26" i="3"/>
  <c r="D26" i="3" s="1"/>
  <c r="B16" i="2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C16" i="4" l="1"/>
  <c r="D15" i="4"/>
  <c r="I15" i="4" s="1"/>
  <c r="C27" i="3"/>
  <c r="D27" i="3" s="1"/>
  <c r="W57" i="2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D16" i="4" l="1"/>
  <c r="I16" i="4" s="1"/>
  <c r="C17" i="4"/>
  <c r="C28" i="3"/>
  <c r="D28" i="3" s="1"/>
  <c r="T18" i="2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D17" i="4" l="1"/>
  <c r="I17" i="4" s="1"/>
  <c r="C18" i="4"/>
  <c r="C29" i="3"/>
  <c r="D29" i="3" s="1"/>
  <c r="W72" i="2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C19" i="4" l="1"/>
  <c r="D18" i="4"/>
  <c r="I18" i="4" s="1"/>
  <c r="C30" i="3"/>
  <c r="D30" i="3" s="1"/>
  <c r="W71" i="2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D19" i="4" l="1"/>
  <c r="I19" i="4" s="1"/>
  <c r="C20" i="4"/>
  <c r="C31" i="3"/>
  <c r="D31" i="3" s="1"/>
  <c r="W80" i="2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D20" i="4" l="1"/>
  <c r="I20" i="4" s="1"/>
  <c r="C21" i="4"/>
  <c r="D21" i="4" s="1"/>
  <c r="I21" i="4" s="1"/>
  <c r="C32" i="3"/>
  <c r="D32" i="3" s="1"/>
  <c r="W78" i="2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C33" i="3" l="1"/>
  <c r="D33" i="3" s="1"/>
  <c r="W81" i="2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C34" i="3" l="1"/>
  <c r="D34" i="3" s="1"/>
  <c r="W87" i="2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<sst xmlns="http://schemas.openxmlformats.org/spreadsheetml/2006/main" count="107" uniqueCount="37">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</sst>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Apple Braille Outline 8 Dot"/>
    </font>
    <font>
      <sz val="14"/>
      <color theme="1"/>
      <name val="Apple Braille Outline 8 Dot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B2" sqref="B2:I27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2.6640625" bestFit="1" customWidth="1"/>
    <col min="7" max="7" width="14.5" bestFit="1" customWidth="1"/>
    <col min="8" max="8" width="14.16406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2.6640625" bestFit="1" customWidth="1"/>
    <col min="16" max="16" width="14.5" bestFit="1" customWidth="1"/>
    <col min="17" max="17" width="14.1640625" bestFit="1" customWidth="1"/>
    <col min="18" max="18" width="10.6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9" t="s">
        <v>33</v>
      </c>
      <c r="C2" s="9"/>
      <c r="D2" s="9"/>
      <c r="E2" s="9"/>
      <c r="F2" s="9"/>
      <c r="G2" s="9"/>
      <c r="H2" s="9"/>
      <c r="I2" s="9"/>
      <c r="K2" s="9" t="s">
        <v>34</v>
      </c>
      <c r="L2" s="9"/>
      <c r="M2" s="9"/>
      <c r="N2" s="9"/>
      <c r="O2" s="9"/>
      <c r="P2" s="9"/>
      <c r="Q2" s="9"/>
      <c r="R2" s="9"/>
      <c r="T2" s="9" t="s">
        <v>35</v>
      </c>
      <c r="U2" s="9"/>
      <c r="V2" s="9"/>
      <c r="W2" s="9"/>
      <c r="X2" s="9"/>
      <c r="Y2" s="9"/>
      <c r="Z2" s="9"/>
      <c r="AA2" s="9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6" x14ac:dyDescent="0.2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6" x14ac:dyDescent="0.2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6" x14ac:dyDescent="0.2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6" x14ac:dyDescent="0.2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6" x14ac:dyDescent="0.2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6" x14ac:dyDescent="0.2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6" x14ac:dyDescent="0.2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6" x14ac:dyDescent="0.2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6" x14ac:dyDescent="0.2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6" x14ac:dyDescent="0.2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6" x14ac:dyDescent="0.2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6" x14ac:dyDescent="0.2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6" x14ac:dyDescent="0.2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6" x14ac:dyDescent="0.2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6" x14ac:dyDescent="0.2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6" x14ac:dyDescent="0.2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6" x14ac:dyDescent="0.2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6" x14ac:dyDescent="0.2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6" x14ac:dyDescent="0.2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6" x14ac:dyDescent="0.2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6" x14ac:dyDescent="0.2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6" x14ac:dyDescent="0.2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6" x14ac:dyDescent="0.2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6" x14ac:dyDescent="0.2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6" x14ac:dyDescent="0.2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6" x14ac:dyDescent="0.2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6" x14ac:dyDescent="0.2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6" x14ac:dyDescent="0.2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6" x14ac:dyDescent="0.2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6" x14ac:dyDescent="0.2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6" x14ac:dyDescent="0.2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6" x14ac:dyDescent="0.2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6" x14ac:dyDescent="0.2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6" x14ac:dyDescent="0.2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6" x14ac:dyDescent="0.2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6" x14ac:dyDescent="0.2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6" x14ac:dyDescent="0.2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6" x14ac:dyDescent="0.2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6" x14ac:dyDescent="0.2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6" x14ac:dyDescent="0.2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6" x14ac:dyDescent="0.2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6" x14ac:dyDescent="0.2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6" x14ac:dyDescent="0.2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6" x14ac:dyDescent="0.2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6" x14ac:dyDescent="0.2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6" x14ac:dyDescent="0.2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6" x14ac:dyDescent="0.2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6" x14ac:dyDescent="0.2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6" x14ac:dyDescent="0.2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6" x14ac:dyDescent="0.2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6" x14ac:dyDescent="0.2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6" x14ac:dyDescent="0.2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6" x14ac:dyDescent="0.2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6" x14ac:dyDescent="0.2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6" x14ac:dyDescent="0.2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6" x14ac:dyDescent="0.2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6" x14ac:dyDescent="0.2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6" x14ac:dyDescent="0.2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6" x14ac:dyDescent="0.2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6" x14ac:dyDescent="0.2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6" x14ac:dyDescent="0.2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6" x14ac:dyDescent="0.2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6" x14ac:dyDescent="0.2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6" x14ac:dyDescent="0.2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6" x14ac:dyDescent="0.2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6" x14ac:dyDescent="0.2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6" x14ac:dyDescent="0.2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6" x14ac:dyDescent="0.2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6" x14ac:dyDescent="0.2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6" x14ac:dyDescent="0.2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6" x14ac:dyDescent="0.2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6" x14ac:dyDescent="0.2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6" x14ac:dyDescent="0.2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6" x14ac:dyDescent="0.2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6" x14ac:dyDescent="0.2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6" x14ac:dyDescent="0.2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6" x14ac:dyDescent="0.2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6" x14ac:dyDescent="0.2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6" x14ac:dyDescent="0.2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A2:AC127"/>
  <sheetViews>
    <sheetView zoomScale="160" zoomScaleNormal="160" workbookViewId="0">
      <selection activeCell="X9" sqref="X9"/>
    </sheetView>
  </sheetViews>
  <sheetFormatPr baseColWidth="10" defaultRowHeight="15" x14ac:dyDescent="0.2"/>
  <cols>
    <col min="1" max="1" width="10.83203125" style="3"/>
    <col min="2" max="2" width="9.5" style="3" bestFit="1" customWidth="1"/>
    <col min="3" max="3" width="6.1640625" style="3" bestFit="1" customWidth="1"/>
    <col min="4" max="4" width="6.5" style="3" bestFit="1" customWidth="1"/>
    <col min="5" max="5" width="2.5" style="3" bestFit="1" customWidth="1"/>
    <col min="6" max="6" width="13" style="3" bestFit="1" customWidth="1"/>
    <col min="7" max="7" width="14.5" style="3" bestFit="1" customWidth="1"/>
    <col min="8" max="8" width="9.83203125" style="3" bestFit="1" customWidth="1"/>
    <col min="9" max="9" width="10.6640625" style="3" bestFit="1" customWidth="1"/>
    <col min="10" max="10" width="10.83203125" style="3"/>
    <col min="11" max="11" width="9.5" style="3" bestFit="1" customWidth="1"/>
    <col min="12" max="12" width="6.1640625" style="3" bestFit="1" customWidth="1"/>
    <col min="13" max="13" width="6.5" style="3" bestFit="1" customWidth="1"/>
    <col min="14" max="14" width="2.5" style="3" bestFit="1" customWidth="1"/>
    <col min="15" max="15" width="13" style="3" bestFit="1" customWidth="1"/>
    <col min="16" max="16" width="14.5" style="3" bestFit="1" customWidth="1"/>
    <col min="17" max="17" width="9.83203125" style="3" bestFit="1" customWidth="1"/>
    <col min="18" max="18" width="10.1640625" style="3" bestFit="1" customWidth="1"/>
    <col min="19" max="19" width="10.83203125" style="3"/>
    <col min="20" max="20" width="9.5" style="3" bestFit="1" customWidth="1"/>
    <col min="21" max="21" width="6.1640625" style="3" bestFit="1" customWidth="1"/>
    <col min="22" max="22" width="7.5" style="3" bestFit="1" customWidth="1"/>
    <col min="23" max="23" width="2.5" style="3" bestFit="1" customWidth="1"/>
    <col min="24" max="24" width="13.83203125" style="3" bestFit="1" customWidth="1"/>
    <col min="25" max="25" width="14.5" style="3" bestFit="1" customWidth="1"/>
    <col min="26" max="26" width="14.1640625" style="3" bestFit="1" customWidth="1"/>
    <col min="27" max="27" width="10.6640625" style="3" bestFit="1" customWidth="1"/>
    <col min="28" max="29" width="10.83203125" style="3"/>
  </cols>
  <sheetData>
    <row r="2" spans="2:27" ht="18" x14ac:dyDescent="0.2">
      <c r="B2" s="10" t="s">
        <v>33</v>
      </c>
      <c r="C2" s="10"/>
      <c r="D2" s="10"/>
      <c r="E2" s="10"/>
      <c r="F2" s="10"/>
      <c r="G2" s="10"/>
      <c r="H2" s="10"/>
      <c r="I2" s="10"/>
      <c r="K2" s="10" t="s">
        <v>34</v>
      </c>
      <c r="L2" s="10"/>
      <c r="M2" s="10"/>
      <c r="N2" s="10"/>
      <c r="O2" s="10"/>
      <c r="P2" s="10"/>
      <c r="Q2" s="10"/>
      <c r="R2" s="10"/>
      <c r="T2" s="9" t="s">
        <v>35</v>
      </c>
      <c r="U2" s="9"/>
      <c r="V2" s="9"/>
      <c r="W2" s="9"/>
      <c r="X2" s="9"/>
      <c r="Y2" s="9"/>
      <c r="Z2" s="9"/>
      <c r="AA2" s="9"/>
    </row>
    <row r="3" spans="2:27" ht="16" x14ac:dyDescent="0.2">
      <c r="B3" s="4" t="s">
        <v>32</v>
      </c>
      <c r="C3" s="4" t="s">
        <v>29</v>
      </c>
      <c r="D3" s="4" t="s">
        <v>1</v>
      </c>
      <c r="E3" s="4" t="s">
        <v>0</v>
      </c>
      <c r="F3" s="4" t="s">
        <v>30</v>
      </c>
      <c r="G3" s="4" t="s">
        <v>26</v>
      </c>
      <c r="H3" s="4" t="s">
        <v>27</v>
      </c>
      <c r="I3" s="4" t="s">
        <v>28</v>
      </c>
      <c r="K3" s="4" t="s">
        <v>32</v>
      </c>
      <c r="L3" s="4" t="s">
        <v>29</v>
      </c>
      <c r="M3" s="4" t="s">
        <v>1</v>
      </c>
      <c r="N3" s="4" t="s">
        <v>0</v>
      </c>
      <c r="O3" s="4" t="s">
        <v>30</v>
      </c>
      <c r="P3" s="4" t="s">
        <v>26</v>
      </c>
      <c r="Q3" s="4" t="s">
        <v>27</v>
      </c>
      <c r="R3" s="4" t="s">
        <v>28</v>
      </c>
      <c r="T3" s="4" t="s">
        <v>32</v>
      </c>
      <c r="U3" s="4" t="s">
        <v>29</v>
      </c>
      <c r="V3" s="4" t="s">
        <v>1</v>
      </c>
      <c r="W3" s="4" t="s">
        <v>0</v>
      </c>
      <c r="X3" s="4" t="s">
        <v>30</v>
      </c>
      <c r="Y3" s="4" t="s">
        <v>26</v>
      </c>
      <c r="Z3" s="4" t="s">
        <v>27</v>
      </c>
      <c r="AA3" s="4" t="s">
        <v>28</v>
      </c>
    </row>
    <row r="4" spans="2:27" ht="16" x14ac:dyDescent="0.2">
      <c r="B4" s="5">
        <v>1</v>
      </c>
      <c r="C4" s="5">
        <v>0</v>
      </c>
      <c r="D4" s="5" t="s">
        <v>2</v>
      </c>
      <c r="E4" s="5">
        <v>1</v>
      </c>
      <c r="F4" s="5" t="str">
        <f>_xlfn.CONCAT("2001:",B4,":",C4 + 1,"::/112")</f>
        <v>2001:1:1::/112</v>
      </c>
      <c r="G4" s="5" t="str">
        <f>_xlfn.CONCAT("2001:",B4,":",C4+1,"::",E4 + 1)</f>
        <v>2001:1:1::2</v>
      </c>
      <c r="H4" s="5">
        <v>112</v>
      </c>
      <c r="I4" s="5" t="str">
        <f>_xlfn.CONCAT("2001:",B4,":",C4+1,"::1")</f>
        <v>2001:1:1::1</v>
      </c>
      <c r="K4" s="5">
        <v>2</v>
      </c>
      <c r="L4" s="5">
        <v>0</v>
      </c>
      <c r="M4" s="5" t="str">
        <f>_xlfn.CONCAT("PC-",MID(D27,FIND("-",D27)+ 1, LEN(D27))+1)</f>
        <v>PC-24</v>
      </c>
      <c r="N4" s="5">
        <v>1</v>
      </c>
      <c r="O4" s="5" t="str">
        <f>_xlfn.CONCAT("2001:",K4,":",L4 + 1,"::/112")</f>
        <v>2001:2:1::/112</v>
      </c>
      <c r="P4" s="5" t="str">
        <f>_xlfn.CONCAT("2001:",K4,":",L4+1,"::",N4 + 1)</f>
        <v>2001:2:1::2</v>
      </c>
      <c r="Q4" s="5">
        <v>112</v>
      </c>
      <c r="R4" s="5" t="str">
        <f>_xlfn.CONCAT("2001:",K4,":",L4+1,"::1")</f>
        <v>2001:2:1::1</v>
      </c>
      <c r="T4" s="5">
        <v>3</v>
      </c>
      <c r="U4" s="5">
        <v>0</v>
      </c>
      <c r="V4" s="5" t="str">
        <f>_xlfn.CONCAT("PC-",MID(M31,FIND("-",M31)+ 1, LEN(M31))+1)</f>
        <v>PC-52</v>
      </c>
      <c r="W4" s="5">
        <v>1</v>
      </c>
      <c r="X4" s="5" t="str">
        <f>_xlfn.CONCAT("2001:",T4,":",U4 + 1,"::/112")</f>
        <v>2001:3:1::/112</v>
      </c>
      <c r="Y4" s="5" t="str">
        <f>_xlfn.CONCAT("2001:",T4,":",U4+1,"::",W4 + 1)</f>
        <v>2001:3:1::2</v>
      </c>
      <c r="Z4" s="5">
        <v>112</v>
      </c>
      <c r="AA4" s="5" t="str">
        <f>_xlfn.CONCAT("2001:",T4,":",U4+1,"::1")</f>
        <v>2001:3:1::1</v>
      </c>
    </row>
    <row r="5" spans="2:27" ht="16" x14ac:dyDescent="0.2">
      <c r="B5" s="5">
        <f>B4</f>
        <v>1</v>
      </c>
      <c r="C5" s="5">
        <v>0</v>
      </c>
      <c r="D5" s="5" t="s">
        <v>3</v>
      </c>
      <c r="E5" s="5">
        <v>2</v>
      </c>
      <c r="F5" s="5" t="str">
        <f t="shared" ref="F5:F27" si="0">_xlfn.CONCAT("2001:",B5,":",C5 + 1,"::/112")</f>
        <v>2001:1:1::/112</v>
      </c>
      <c r="G5" s="5" t="str">
        <f t="shared" ref="G5:G27" si="1">_xlfn.CONCAT("2001:",B5,":",C5+1,"::",E5 + 1)</f>
        <v>2001:1:1::3</v>
      </c>
      <c r="H5" s="5">
        <v>112</v>
      </c>
      <c r="I5" s="5" t="str">
        <f t="shared" ref="I5:I27" si="2">_xlfn.CONCAT("2001:",B5,":",C5+1,"::1")</f>
        <v>2001:1:1::1</v>
      </c>
      <c r="K5" s="5">
        <f>K4</f>
        <v>2</v>
      </c>
      <c r="L5" s="5">
        <v>0</v>
      </c>
      <c r="M5" s="5" t="str">
        <f>_xlfn.CONCAT("PC-",MID(M4,FIND("-",M4)+ 1, LEN(M4))+1)</f>
        <v>PC-25</v>
      </c>
      <c r="N5" s="5">
        <v>2</v>
      </c>
      <c r="O5" s="5" t="str">
        <f t="shared" ref="O5:O31" si="3">_xlfn.CONCAT("2001:",K5,":",L5 + 1,"::/112")</f>
        <v>2001:2:1::/112</v>
      </c>
      <c r="P5" s="5" t="str">
        <f t="shared" ref="P5:P31" si="4">_xlfn.CONCAT("2001:",K5,":",L5+1,"::",N5 + 1)</f>
        <v>2001:2:1::3</v>
      </c>
      <c r="Q5" s="5">
        <v>112</v>
      </c>
      <c r="R5" s="5" t="str">
        <f t="shared" ref="R5:R31" si="5">_xlfn.CONCAT("2001:",K5,":",L5+1,"::1")</f>
        <v>2001:2:1::1</v>
      </c>
      <c r="T5" s="5">
        <f>T4</f>
        <v>3</v>
      </c>
      <c r="U5" s="5">
        <v>0</v>
      </c>
      <c r="V5" s="5" t="str">
        <f>_xlfn.CONCAT("PC-",MID(V4,FIND("-",V4)+ 1, LEN(V4))+1)</f>
        <v>PC-53</v>
      </c>
      <c r="W5" s="5">
        <v>2</v>
      </c>
      <c r="X5" s="5" t="str">
        <f t="shared" ref="X5:X68" si="6">_xlfn.CONCAT("2001:",T5,":",U5 + 1,"::/112")</f>
        <v>2001:3:1::/112</v>
      </c>
      <c r="Y5" s="5" t="str">
        <f t="shared" ref="Y5:Y68" si="7">_xlfn.CONCAT("2001:",T5,":",U5+1,"::",W5 + 1)</f>
        <v>2001:3:1::3</v>
      </c>
      <c r="Z5" s="5">
        <v>112</v>
      </c>
      <c r="AA5" s="5" t="str">
        <f t="shared" ref="AA5:AA68" si="8">_xlfn.CONCAT("2001:",T5,":",U5+1,"::1")</f>
        <v>2001:3:1::1</v>
      </c>
    </row>
    <row r="6" spans="2:27" ht="16" x14ac:dyDescent="0.2">
      <c r="B6" s="5">
        <f t="shared" ref="B6:B27" si="9">B5</f>
        <v>1</v>
      </c>
      <c r="C6" s="5">
        <v>0</v>
      </c>
      <c r="D6" s="5" t="s">
        <v>4</v>
      </c>
      <c r="E6" s="5">
        <v>3</v>
      </c>
      <c r="F6" s="5" t="str">
        <f t="shared" si="0"/>
        <v>2001:1:1::/112</v>
      </c>
      <c r="G6" s="5" t="str">
        <f t="shared" si="1"/>
        <v>2001:1:1::4</v>
      </c>
      <c r="H6" s="5">
        <v>112</v>
      </c>
      <c r="I6" s="5" t="str">
        <f t="shared" si="2"/>
        <v>2001:1:1::1</v>
      </c>
      <c r="K6" s="5">
        <f t="shared" ref="K6:K31" si="10">K5</f>
        <v>2</v>
      </c>
      <c r="L6" s="5">
        <v>0</v>
      </c>
      <c r="M6" s="5" t="str">
        <f t="shared" ref="M6:M31" si="11">_xlfn.CONCAT("PC-",MID(M5,FIND("-",M5)+ 1, LEN(M5))+1)</f>
        <v>PC-26</v>
      </c>
      <c r="N6" s="5">
        <v>3</v>
      </c>
      <c r="O6" s="5" t="str">
        <f t="shared" si="3"/>
        <v>2001:2:1::/112</v>
      </c>
      <c r="P6" s="5" t="str">
        <f t="shared" si="4"/>
        <v>2001:2:1::4</v>
      </c>
      <c r="Q6" s="5">
        <v>112</v>
      </c>
      <c r="R6" s="5" t="str">
        <f t="shared" si="5"/>
        <v>2001:2:1::1</v>
      </c>
      <c r="T6" s="5">
        <f t="shared" ref="T6:T69" si="12">T5</f>
        <v>3</v>
      </c>
      <c r="U6" s="5">
        <v>0</v>
      </c>
      <c r="V6" s="5" t="str">
        <f t="shared" ref="V6:V69" si="13">_xlfn.CONCAT("PC-",MID(V5,FIND("-",V5)+ 1, LEN(V5))+1)</f>
        <v>PC-54</v>
      </c>
      <c r="W6" s="5">
        <v>3</v>
      </c>
      <c r="X6" s="5" t="str">
        <f t="shared" si="6"/>
        <v>2001:3:1::/112</v>
      </c>
      <c r="Y6" s="5" t="str">
        <f t="shared" si="7"/>
        <v>2001:3:1::4</v>
      </c>
      <c r="Z6" s="5">
        <v>112</v>
      </c>
      <c r="AA6" s="5" t="str">
        <f t="shared" si="8"/>
        <v>2001:3:1::1</v>
      </c>
    </row>
    <row r="7" spans="2:27" ht="16" x14ac:dyDescent="0.2">
      <c r="B7" s="5">
        <f t="shared" si="9"/>
        <v>1</v>
      </c>
      <c r="C7" s="5">
        <v>0</v>
      </c>
      <c r="D7" s="5" t="s">
        <v>5</v>
      </c>
      <c r="E7" s="5">
        <v>4</v>
      </c>
      <c r="F7" s="5" t="str">
        <f t="shared" si="0"/>
        <v>2001:1:1::/112</v>
      </c>
      <c r="G7" s="5" t="str">
        <f t="shared" si="1"/>
        <v>2001:1:1::5</v>
      </c>
      <c r="H7" s="5">
        <v>112</v>
      </c>
      <c r="I7" s="5" t="str">
        <f t="shared" si="2"/>
        <v>2001:1:1::1</v>
      </c>
      <c r="K7" s="5">
        <f t="shared" si="10"/>
        <v>2</v>
      </c>
      <c r="L7" s="5">
        <v>0</v>
      </c>
      <c r="M7" s="5" t="str">
        <f t="shared" si="11"/>
        <v>PC-27</v>
      </c>
      <c r="N7" s="5">
        <v>4</v>
      </c>
      <c r="O7" s="5" t="str">
        <f t="shared" si="3"/>
        <v>2001:2:1::/112</v>
      </c>
      <c r="P7" s="5" t="str">
        <f t="shared" si="4"/>
        <v>2001:2:1::5</v>
      </c>
      <c r="Q7" s="5">
        <v>112</v>
      </c>
      <c r="R7" s="5" t="str">
        <f t="shared" si="5"/>
        <v>2001:2:1::1</v>
      </c>
      <c r="T7" s="5">
        <f t="shared" si="12"/>
        <v>3</v>
      </c>
      <c r="U7" s="5">
        <v>0</v>
      </c>
      <c r="V7" s="5" t="str">
        <f t="shared" si="13"/>
        <v>PC-55</v>
      </c>
      <c r="W7" s="5">
        <v>4</v>
      </c>
      <c r="X7" s="5" t="str">
        <f t="shared" si="6"/>
        <v>2001:3:1::/112</v>
      </c>
      <c r="Y7" s="5" t="str">
        <f t="shared" si="7"/>
        <v>2001:3:1::5</v>
      </c>
      <c r="Z7" s="5">
        <v>112</v>
      </c>
      <c r="AA7" s="5" t="str">
        <f t="shared" si="8"/>
        <v>2001:3:1::1</v>
      </c>
    </row>
    <row r="8" spans="2:27" ht="16" x14ac:dyDescent="0.2">
      <c r="B8" s="5">
        <f t="shared" si="9"/>
        <v>1</v>
      </c>
      <c r="C8" s="5">
        <f>C4+1</f>
        <v>1</v>
      </c>
      <c r="D8" s="5" t="s">
        <v>6</v>
      </c>
      <c r="E8" s="5">
        <f>E4</f>
        <v>1</v>
      </c>
      <c r="F8" s="5" t="str">
        <f t="shared" si="0"/>
        <v>2001:1:2::/112</v>
      </c>
      <c r="G8" s="5" t="str">
        <f t="shared" si="1"/>
        <v>2001:1:2::2</v>
      </c>
      <c r="H8" s="5">
        <v>112</v>
      </c>
      <c r="I8" s="5" t="str">
        <f t="shared" si="2"/>
        <v>2001:1:2::1</v>
      </c>
      <c r="K8" s="5">
        <f t="shared" si="10"/>
        <v>2</v>
      </c>
      <c r="L8" s="5">
        <f>L4+1</f>
        <v>1</v>
      </c>
      <c r="M8" s="5" t="str">
        <f t="shared" si="11"/>
        <v>PC-28</v>
      </c>
      <c r="N8" s="5">
        <f>N4</f>
        <v>1</v>
      </c>
      <c r="O8" s="5" t="str">
        <f t="shared" si="3"/>
        <v>2001:2:2::/112</v>
      </c>
      <c r="P8" s="5" t="str">
        <f t="shared" si="4"/>
        <v>2001:2:2::2</v>
      </c>
      <c r="Q8" s="5">
        <v>112</v>
      </c>
      <c r="R8" s="5" t="str">
        <f t="shared" si="5"/>
        <v>2001:2:2::1</v>
      </c>
      <c r="T8" s="5">
        <f t="shared" si="12"/>
        <v>3</v>
      </c>
      <c r="U8" s="5">
        <f>U4+1</f>
        <v>1</v>
      </c>
      <c r="V8" s="5" t="str">
        <f t="shared" si="13"/>
        <v>PC-56</v>
      </c>
      <c r="W8" s="5">
        <f>W4</f>
        <v>1</v>
      </c>
      <c r="X8" s="5" t="str">
        <f t="shared" si="6"/>
        <v>2001:3:2::/112</v>
      </c>
      <c r="Y8" s="5" t="str">
        <f t="shared" si="7"/>
        <v>2001:3:2::2</v>
      </c>
      <c r="Z8" s="5">
        <v>112</v>
      </c>
      <c r="AA8" s="5" t="str">
        <f t="shared" si="8"/>
        <v>2001:3:2::1</v>
      </c>
    </row>
    <row r="9" spans="2:27" ht="16" x14ac:dyDescent="0.2">
      <c r="B9" s="5">
        <f t="shared" si="9"/>
        <v>1</v>
      </c>
      <c r="C9" s="5">
        <f t="shared" ref="C9:C27" si="14">C5+1</f>
        <v>1</v>
      </c>
      <c r="D9" s="5" t="s">
        <v>7</v>
      </c>
      <c r="E9" s="5">
        <f t="shared" ref="E9:E27" si="15">E5</f>
        <v>2</v>
      </c>
      <c r="F9" s="5" t="str">
        <f t="shared" si="0"/>
        <v>2001:1:2::/112</v>
      </c>
      <c r="G9" s="5" t="str">
        <f t="shared" si="1"/>
        <v>2001:1:2::3</v>
      </c>
      <c r="H9" s="5">
        <v>112</v>
      </c>
      <c r="I9" s="5" t="str">
        <f t="shared" si="2"/>
        <v>2001:1:2::1</v>
      </c>
      <c r="K9" s="5">
        <f t="shared" si="10"/>
        <v>2</v>
      </c>
      <c r="L9" s="5">
        <f t="shared" ref="L9:L31" si="16">L5+1</f>
        <v>1</v>
      </c>
      <c r="M9" s="5" t="str">
        <f t="shared" si="11"/>
        <v>PC-29</v>
      </c>
      <c r="N9" s="5">
        <f t="shared" ref="N9:N31" si="17">N5</f>
        <v>2</v>
      </c>
      <c r="O9" s="5" t="str">
        <f t="shared" si="3"/>
        <v>2001:2:2::/112</v>
      </c>
      <c r="P9" s="5" t="str">
        <f t="shared" si="4"/>
        <v>2001:2:2::3</v>
      </c>
      <c r="Q9" s="5">
        <v>112</v>
      </c>
      <c r="R9" s="5" t="str">
        <f t="shared" si="5"/>
        <v>2001:2:2::1</v>
      </c>
      <c r="T9" s="5">
        <f t="shared" si="12"/>
        <v>3</v>
      </c>
      <c r="U9" s="5">
        <f t="shared" ref="U9:U72" si="18">U5+1</f>
        <v>1</v>
      </c>
      <c r="V9" s="5" t="str">
        <f t="shared" si="13"/>
        <v>PC-57</v>
      </c>
      <c r="W9" s="5">
        <f t="shared" ref="W9:W72" si="19">W5</f>
        <v>2</v>
      </c>
      <c r="X9" s="5" t="str">
        <f t="shared" si="6"/>
        <v>2001:3:2::/112</v>
      </c>
      <c r="Y9" s="5" t="str">
        <f t="shared" si="7"/>
        <v>2001:3:2::3</v>
      </c>
      <c r="Z9" s="5">
        <v>112</v>
      </c>
      <c r="AA9" s="5" t="str">
        <f t="shared" si="8"/>
        <v>2001:3:2::1</v>
      </c>
    </row>
    <row r="10" spans="2:27" ht="16" x14ac:dyDescent="0.2">
      <c r="B10" s="5">
        <f t="shared" si="9"/>
        <v>1</v>
      </c>
      <c r="C10" s="5">
        <f t="shared" si="14"/>
        <v>1</v>
      </c>
      <c r="D10" s="5" t="s">
        <v>8</v>
      </c>
      <c r="E10" s="5">
        <f t="shared" si="15"/>
        <v>3</v>
      </c>
      <c r="F10" s="5" t="str">
        <f t="shared" si="0"/>
        <v>2001:1:2::/112</v>
      </c>
      <c r="G10" s="5" t="str">
        <f t="shared" si="1"/>
        <v>2001:1:2::4</v>
      </c>
      <c r="H10" s="5">
        <v>112</v>
      </c>
      <c r="I10" s="5" t="str">
        <f t="shared" si="2"/>
        <v>2001:1:2::1</v>
      </c>
      <c r="K10" s="5">
        <f t="shared" si="10"/>
        <v>2</v>
      </c>
      <c r="L10" s="5">
        <f t="shared" si="16"/>
        <v>1</v>
      </c>
      <c r="M10" s="5" t="str">
        <f t="shared" si="11"/>
        <v>PC-30</v>
      </c>
      <c r="N10" s="5">
        <f t="shared" si="17"/>
        <v>3</v>
      </c>
      <c r="O10" s="5" t="str">
        <f t="shared" si="3"/>
        <v>2001:2:2::/112</v>
      </c>
      <c r="P10" s="5" t="str">
        <f t="shared" si="4"/>
        <v>2001:2:2::4</v>
      </c>
      <c r="Q10" s="5">
        <v>112</v>
      </c>
      <c r="R10" s="5" t="str">
        <f t="shared" si="5"/>
        <v>2001:2:2::1</v>
      </c>
      <c r="T10" s="5">
        <f t="shared" si="12"/>
        <v>3</v>
      </c>
      <c r="U10" s="5">
        <f t="shared" si="18"/>
        <v>1</v>
      </c>
      <c r="V10" s="5" t="str">
        <f t="shared" si="13"/>
        <v>PC-58</v>
      </c>
      <c r="W10" s="5">
        <f t="shared" si="19"/>
        <v>3</v>
      </c>
      <c r="X10" s="5" t="str">
        <f t="shared" si="6"/>
        <v>2001:3:2::/112</v>
      </c>
      <c r="Y10" s="5" t="str">
        <f t="shared" si="7"/>
        <v>2001:3:2::4</v>
      </c>
      <c r="Z10" s="5">
        <v>112</v>
      </c>
      <c r="AA10" s="5" t="str">
        <f t="shared" si="8"/>
        <v>2001:3:2::1</v>
      </c>
    </row>
    <row r="11" spans="2:27" ht="16" x14ac:dyDescent="0.2">
      <c r="B11" s="5">
        <f t="shared" si="9"/>
        <v>1</v>
      </c>
      <c r="C11" s="5">
        <f t="shared" si="14"/>
        <v>1</v>
      </c>
      <c r="D11" s="5" t="s">
        <v>9</v>
      </c>
      <c r="E11" s="5">
        <f t="shared" si="15"/>
        <v>4</v>
      </c>
      <c r="F11" s="5" t="str">
        <f t="shared" si="0"/>
        <v>2001:1:2::/112</v>
      </c>
      <c r="G11" s="5" t="str">
        <f t="shared" si="1"/>
        <v>2001:1:2::5</v>
      </c>
      <c r="H11" s="5">
        <v>112</v>
      </c>
      <c r="I11" s="5" t="str">
        <f t="shared" si="2"/>
        <v>2001:1:2::1</v>
      </c>
      <c r="K11" s="5">
        <f t="shared" si="10"/>
        <v>2</v>
      </c>
      <c r="L11" s="5">
        <f t="shared" si="16"/>
        <v>1</v>
      </c>
      <c r="M11" s="5" t="str">
        <f t="shared" si="11"/>
        <v>PC-31</v>
      </c>
      <c r="N11" s="5">
        <f t="shared" si="17"/>
        <v>4</v>
      </c>
      <c r="O11" s="5" t="str">
        <f t="shared" si="3"/>
        <v>2001:2:2::/112</v>
      </c>
      <c r="P11" s="5" t="str">
        <f t="shared" si="4"/>
        <v>2001:2:2::5</v>
      </c>
      <c r="Q11" s="5">
        <v>112</v>
      </c>
      <c r="R11" s="5" t="str">
        <f t="shared" si="5"/>
        <v>2001:2:2::1</v>
      </c>
      <c r="T11" s="5">
        <f t="shared" si="12"/>
        <v>3</v>
      </c>
      <c r="U11" s="5">
        <f t="shared" si="18"/>
        <v>1</v>
      </c>
      <c r="V11" s="5" t="str">
        <f t="shared" si="13"/>
        <v>PC-59</v>
      </c>
      <c r="W11" s="5">
        <f t="shared" si="19"/>
        <v>4</v>
      </c>
      <c r="X11" s="5" t="str">
        <f t="shared" si="6"/>
        <v>2001:3:2::/112</v>
      </c>
      <c r="Y11" s="5" t="str">
        <f t="shared" si="7"/>
        <v>2001:3:2::5</v>
      </c>
      <c r="Z11" s="5">
        <v>112</v>
      </c>
      <c r="AA11" s="5" t="str">
        <f t="shared" si="8"/>
        <v>2001:3:2::1</v>
      </c>
    </row>
    <row r="12" spans="2:27" ht="16" x14ac:dyDescent="0.2">
      <c r="B12" s="5">
        <f t="shared" si="9"/>
        <v>1</v>
      </c>
      <c r="C12" s="5">
        <f>C8+1</f>
        <v>2</v>
      </c>
      <c r="D12" s="5" t="s">
        <v>10</v>
      </c>
      <c r="E12" s="5">
        <f t="shared" si="15"/>
        <v>1</v>
      </c>
      <c r="F12" s="5" t="str">
        <f t="shared" si="0"/>
        <v>2001:1:3::/112</v>
      </c>
      <c r="G12" s="5" t="str">
        <f t="shared" si="1"/>
        <v>2001:1:3::2</v>
      </c>
      <c r="H12" s="5">
        <v>112</v>
      </c>
      <c r="I12" s="5" t="str">
        <f t="shared" si="2"/>
        <v>2001:1:3::1</v>
      </c>
      <c r="K12" s="5">
        <f t="shared" si="10"/>
        <v>2</v>
      </c>
      <c r="L12" s="5">
        <f>L8+1</f>
        <v>2</v>
      </c>
      <c r="M12" s="5" t="str">
        <f t="shared" si="11"/>
        <v>PC-32</v>
      </c>
      <c r="N12" s="5">
        <f t="shared" si="17"/>
        <v>1</v>
      </c>
      <c r="O12" s="5" t="str">
        <f t="shared" si="3"/>
        <v>2001:2:3::/112</v>
      </c>
      <c r="P12" s="5" t="str">
        <f t="shared" si="4"/>
        <v>2001:2:3::2</v>
      </c>
      <c r="Q12" s="5">
        <v>112</v>
      </c>
      <c r="R12" s="5" t="str">
        <f t="shared" si="5"/>
        <v>2001:2:3::1</v>
      </c>
      <c r="T12" s="5">
        <f t="shared" si="12"/>
        <v>3</v>
      </c>
      <c r="U12" s="5">
        <f>U8+1</f>
        <v>2</v>
      </c>
      <c r="V12" s="5" t="str">
        <f t="shared" si="13"/>
        <v>PC-60</v>
      </c>
      <c r="W12" s="5">
        <f t="shared" si="19"/>
        <v>1</v>
      </c>
      <c r="X12" s="5" t="str">
        <f t="shared" si="6"/>
        <v>2001:3:3::/112</v>
      </c>
      <c r="Y12" s="5" t="str">
        <f t="shared" si="7"/>
        <v>2001:3:3::2</v>
      </c>
      <c r="Z12" s="5">
        <v>112</v>
      </c>
      <c r="AA12" s="5" t="str">
        <f t="shared" si="8"/>
        <v>2001:3:3::1</v>
      </c>
    </row>
    <row r="13" spans="2:27" ht="16" x14ac:dyDescent="0.2">
      <c r="B13" s="5">
        <f t="shared" si="9"/>
        <v>1</v>
      </c>
      <c r="C13" s="5">
        <f t="shared" si="14"/>
        <v>2</v>
      </c>
      <c r="D13" s="5" t="s">
        <v>11</v>
      </c>
      <c r="E13" s="5">
        <f t="shared" si="15"/>
        <v>2</v>
      </c>
      <c r="F13" s="5" t="str">
        <f t="shared" si="0"/>
        <v>2001:1:3::/112</v>
      </c>
      <c r="G13" s="5" t="str">
        <f t="shared" si="1"/>
        <v>2001:1:3::3</v>
      </c>
      <c r="H13" s="5">
        <v>112</v>
      </c>
      <c r="I13" s="5" t="str">
        <f t="shared" si="2"/>
        <v>2001:1:3::1</v>
      </c>
      <c r="K13" s="5">
        <f t="shared" si="10"/>
        <v>2</v>
      </c>
      <c r="L13" s="5">
        <f t="shared" si="16"/>
        <v>2</v>
      </c>
      <c r="M13" s="5" t="str">
        <f t="shared" si="11"/>
        <v>PC-33</v>
      </c>
      <c r="N13" s="5">
        <f t="shared" si="17"/>
        <v>2</v>
      </c>
      <c r="O13" s="5" t="str">
        <f t="shared" si="3"/>
        <v>2001:2:3::/112</v>
      </c>
      <c r="P13" s="5" t="str">
        <f t="shared" si="4"/>
        <v>2001:2:3::3</v>
      </c>
      <c r="Q13" s="5">
        <v>112</v>
      </c>
      <c r="R13" s="5" t="str">
        <f t="shared" si="5"/>
        <v>2001:2:3::1</v>
      </c>
      <c r="T13" s="5">
        <f t="shared" si="12"/>
        <v>3</v>
      </c>
      <c r="U13" s="5">
        <f t="shared" si="18"/>
        <v>2</v>
      </c>
      <c r="V13" s="5" t="str">
        <f t="shared" si="13"/>
        <v>PC-61</v>
      </c>
      <c r="W13" s="5">
        <f t="shared" si="19"/>
        <v>2</v>
      </c>
      <c r="X13" s="5" t="str">
        <f t="shared" si="6"/>
        <v>2001:3:3::/112</v>
      </c>
      <c r="Y13" s="5" t="str">
        <f t="shared" si="7"/>
        <v>2001:3:3::3</v>
      </c>
      <c r="Z13" s="5">
        <v>112</v>
      </c>
      <c r="AA13" s="5" t="str">
        <f t="shared" si="8"/>
        <v>2001:3:3::1</v>
      </c>
    </row>
    <row r="14" spans="2:27" ht="16" x14ac:dyDescent="0.2">
      <c r="B14" s="5">
        <f t="shared" si="9"/>
        <v>1</v>
      </c>
      <c r="C14" s="5">
        <f t="shared" si="14"/>
        <v>2</v>
      </c>
      <c r="D14" s="5" t="s">
        <v>12</v>
      </c>
      <c r="E14" s="5">
        <f t="shared" si="15"/>
        <v>3</v>
      </c>
      <c r="F14" s="5" t="str">
        <f t="shared" si="0"/>
        <v>2001:1:3::/112</v>
      </c>
      <c r="G14" s="5" t="str">
        <f t="shared" si="1"/>
        <v>2001:1:3::4</v>
      </c>
      <c r="H14" s="5">
        <v>112</v>
      </c>
      <c r="I14" s="5" t="str">
        <f t="shared" si="2"/>
        <v>2001:1:3::1</v>
      </c>
      <c r="K14" s="5">
        <f t="shared" si="10"/>
        <v>2</v>
      </c>
      <c r="L14" s="5">
        <f t="shared" si="16"/>
        <v>2</v>
      </c>
      <c r="M14" s="5" t="str">
        <f t="shared" si="11"/>
        <v>PC-34</v>
      </c>
      <c r="N14" s="5">
        <f t="shared" si="17"/>
        <v>3</v>
      </c>
      <c r="O14" s="5" t="str">
        <f t="shared" si="3"/>
        <v>2001:2:3::/112</v>
      </c>
      <c r="P14" s="5" t="str">
        <f t="shared" si="4"/>
        <v>2001:2:3::4</v>
      </c>
      <c r="Q14" s="5">
        <v>112</v>
      </c>
      <c r="R14" s="5" t="str">
        <f t="shared" si="5"/>
        <v>2001:2:3::1</v>
      </c>
      <c r="T14" s="5">
        <f t="shared" si="12"/>
        <v>3</v>
      </c>
      <c r="U14" s="5">
        <f t="shared" si="18"/>
        <v>2</v>
      </c>
      <c r="V14" s="5" t="str">
        <f t="shared" si="13"/>
        <v>PC-62</v>
      </c>
      <c r="W14" s="5">
        <f t="shared" si="19"/>
        <v>3</v>
      </c>
      <c r="X14" s="5" t="str">
        <f t="shared" si="6"/>
        <v>2001:3:3::/112</v>
      </c>
      <c r="Y14" s="5" t="str">
        <f t="shared" si="7"/>
        <v>2001:3:3::4</v>
      </c>
      <c r="Z14" s="5">
        <v>112</v>
      </c>
      <c r="AA14" s="5" t="str">
        <f t="shared" si="8"/>
        <v>2001:3:3::1</v>
      </c>
    </row>
    <row r="15" spans="2:27" ht="16" x14ac:dyDescent="0.2">
      <c r="B15" s="5">
        <f t="shared" si="9"/>
        <v>1</v>
      </c>
      <c r="C15" s="5">
        <f t="shared" si="14"/>
        <v>2</v>
      </c>
      <c r="D15" s="5" t="s">
        <v>13</v>
      </c>
      <c r="E15" s="5">
        <f t="shared" si="15"/>
        <v>4</v>
      </c>
      <c r="F15" s="5" t="str">
        <f t="shared" si="0"/>
        <v>2001:1:3::/112</v>
      </c>
      <c r="G15" s="5" t="str">
        <f t="shared" si="1"/>
        <v>2001:1:3::5</v>
      </c>
      <c r="H15" s="5">
        <v>112</v>
      </c>
      <c r="I15" s="5" t="str">
        <f t="shared" si="2"/>
        <v>2001:1:3::1</v>
      </c>
      <c r="K15" s="5">
        <f t="shared" si="10"/>
        <v>2</v>
      </c>
      <c r="L15" s="5">
        <f t="shared" si="16"/>
        <v>2</v>
      </c>
      <c r="M15" s="5" t="str">
        <f t="shared" si="11"/>
        <v>PC-35</v>
      </c>
      <c r="N15" s="5">
        <f t="shared" si="17"/>
        <v>4</v>
      </c>
      <c r="O15" s="5" t="str">
        <f t="shared" si="3"/>
        <v>2001:2:3::/112</v>
      </c>
      <c r="P15" s="5" t="str">
        <f t="shared" si="4"/>
        <v>2001:2:3::5</v>
      </c>
      <c r="Q15" s="5">
        <v>112</v>
      </c>
      <c r="R15" s="5" t="str">
        <f t="shared" si="5"/>
        <v>2001:2:3::1</v>
      </c>
      <c r="T15" s="5">
        <f t="shared" si="12"/>
        <v>3</v>
      </c>
      <c r="U15" s="5">
        <f t="shared" si="18"/>
        <v>2</v>
      </c>
      <c r="V15" s="5" t="str">
        <f t="shared" si="13"/>
        <v>PC-63</v>
      </c>
      <c r="W15" s="5">
        <f t="shared" si="19"/>
        <v>4</v>
      </c>
      <c r="X15" s="5" t="str">
        <f t="shared" si="6"/>
        <v>2001:3:3::/112</v>
      </c>
      <c r="Y15" s="5" t="str">
        <f t="shared" si="7"/>
        <v>2001:3:3::5</v>
      </c>
      <c r="Z15" s="5">
        <v>112</v>
      </c>
      <c r="AA15" s="5" t="str">
        <f t="shared" si="8"/>
        <v>2001:3:3::1</v>
      </c>
    </row>
    <row r="16" spans="2:27" ht="16" x14ac:dyDescent="0.2">
      <c r="B16" s="5">
        <f t="shared" si="9"/>
        <v>1</v>
      </c>
      <c r="C16" s="5">
        <f>C12+1</f>
        <v>3</v>
      </c>
      <c r="D16" s="5" t="s">
        <v>14</v>
      </c>
      <c r="E16" s="5">
        <f t="shared" si="15"/>
        <v>1</v>
      </c>
      <c r="F16" s="5" t="str">
        <f t="shared" si="0"/>
        <v>2001:1:4::/112</v>
      </c>
      <c r="G16" s="5" t="str">
        <f t="shared" si="1"/>
        <v>2001:1:4::2</v>
      </c>
      <c r="H16" s="5">
        <v>112</v>
      </c>
      <c r="I16" s="5" t="str">
        <f t="shared" si="2"/>
        <v>2001:1:4::1</v>
      </c>
      <c r="K16" s="5">
        <f t="shared" si="10"/>
        <v>2</v>
      </c>
      <c r="L16" s="5">
        <f>L12+1</f>
        <v>3</v>
      </c>
      <c r="M16" s="5" t="str">
        <f t="shared" si="11"/>
        <v>PC-36</v>
      </c>
      <c r="N16" s="5">
        <f t="shared" si="17"/>
        <v>1</v>
      </c>
      <c r="O16" s="5" t="str">
        <f t="shared" si="3"/>
        <v>2001:2:4::/112</v>
      </c>
      <c r="P16" s="5" t="str">
        <f t="shared" si="4"/>
        <v>2001:2:4::2</v>
      </c>
      <c r="Q16" s="5">
        <v>112</v>
      </c>
      <c r="R16" s="5" t="str">
        <f t="shared" si="5"/>
        <v>2001:2:4::1</v>
      </c>
      <c r="T16" s="5">
        <f t="shared" si="12"/>
        <v>3</v>
      </c>
      <c r="U16" s="5">
        <f>U12+1</f>
        <v>3</v>
      </c>
      <c r="V16" s="5" t="str">
        <f t="shared" si="13"/>
        <v>PC-64</v>
      </c>
      <c r="W16" s="5">
        <f t="shared" si="19"/>
        <v>1</v>
      </c>
      <c r="X16" s="5" t="str">
        <f t="shared" si="6"/>
        <v>2001:3:4::/112</v>
      </c>
      <c r="Y16" s="5" t="str">
        <f t="shared" si="7"/>
        <v>2001:3:4::2</v>
      </c>
      <c r="Z16" s="5">
        <v>112</v>
      </c>
      <c r="AA16" s="5" t="str">
        <f t="shared" si="8"/>
        <v>2001:3:4::1</v>
      </c>
    </row>
    <row r="17" spans="2:27" ht="16" x14ac:dyDescent="0.2">
      <c r="B17" s="5">
        <f t="shared" si="9"/>
        <v>1</v>
      </c>
      <c r="C17" s="5">
        <f t="shared" si="14"/>
        <v>3</v>
      </c>
      <c r="D17" s="5" t="s">
        <v>15</v>
      </c>
      <c r="E17" s="5">
        <f t="shared" si="15"/>
        <v>2</v>
      </c>
      <c r="F17" s="5" t="str">
        <f t="shared" si="0"/>
        <v>2001:1:4::/112</v>
      </c>
      <c r="G17" s="5" t="str">
        <f t="shared" si="1"/>
        <v>2001:1:4::3</v>
      </c>
      <c r="H17" s="5">
        <v>112</v>
      </c>
      <c r="I17" s="5" t="str">
        <f t="shared" si="2"/>
        <v>2001:1:4::1</v>
      </c>
      <c r="K17" s="5">
        <f t="shared" si="10"/>
        <v>2</v>
      </c>
      <c r="L17" s="5">
        <f t="shared" si="16"/>
        <v>3</v>
      </c>
      <c r="M17" s="5" t="str">
        <f t="shared" si="11"/>
        <v>PC-37</v>
      </c>
      <c r="N17" s="5">
        <f t="shared" si="17"/>
        <v>2</v>
      </c>
      <c r="O17" s="5" t="str">
        <f t="shared" si="3"/>
        <v>2001:2:4::/112</v>
      </c>
      <c r="P17" s="5" t="str">
        <f t="shared" si="4"/>
        <v>2001:2:4::3</v>
      </c>
      <c r="Q17" s="5">
        <v>112</v>
      </c>
      <c r="R17" s="5" t="str">
        <f t="shared" si="5"/>
        <v>2001:2:4::1</v>
      </c>
      <c r="T17" s="5">
        <f t="shared" si="12"/>
        <v>3</v>
      </c>
      <c r="U17" s="5">
        <f t="shared" si="18"/>
        <v>3</v>
      </c>
      <c r="V17" s="5" t="str">
        <f t="shared" si="13"/>
        <v>PC-65</v>
      </c>
      <c r="W17" s="5">
        <f t="shared" si="19"/>
        <v>2</v>
      </c>
      <c r="X17" s="5" t="str">
        <f t="shared" si="6"/>
        <v>2001:3:4::/112</v>
      </c>
      <c r="Y17" s="5" t="str">
        <f t="shared" si="7"/>
        <v>2001:3:4::3</v>
      </c>
      <c r="Z17" s="5">
        <v>112</v>
      </c>
      <c r="AA17" s="5" t="str">
        <f t="shared" si="8"/>
        <v>2001:3:4::1</v>
      </c>
    </row>
    <row r="18" spans="2:27" ht="16" x14ac:dyDescent="0.2">
      <c r="B18" s="5">
        <f t="shared" si="9"/>
        <v>1</v>
      </c>
      <c r="C18" s="5">
        <f t="shared" si="14"/>
        <v>3</v>
      </c>
      <c r="D18" s="5" t="s">
        <v>16</v>
      </c>
      <c r="E18" s="5">
        <f t="shared" si="15"/>
        <v>3</v>
      </c>
      <c r="F18" s="5" t="str">
        <f t="shared" si="0"/>
        <v>2001:1:4::/112</v>
      </c>
      <c r="G18" s="5" t="str">
        <f t="shared" si="1"/>
        <v>2001:1:4::4</v>
      </c>
      <c r="H18" s="5">
        <v>112</v>
      </c>
      <c r="I18" s="5" t="str">
        <f t="shared" si="2"/>
        <v>2001:1:4::1</v>
      </c>
      <c r="K18" s="5">
        <f t="shared" si="10"/>
        <v>2</v>
      </c>
      <c r="L18" s="5">
        <f t="shared" si="16"/>
        <v>3</v>
      </c>
      <c r="M18" s="5" t="str">
        <f t="shared" si="11"/>
        <v>PC-38</v>
      </c>
      <c r="N18" s="5">
        <f t="shared" si="17"/>
        <v>3</v>
      </c>
      <c r="O18" s="5" t="str">
        <f t="shared" si="3"/>
        <v>2001:2:4::/112</v>
      </c>
      <c r="P18" s="5" t="str">
        <f t="shared" si="4"/>
        <v>2001:2:4::4</v>
      </c>
      <c r="Q18" s="5">
        <v>112</v>
      </c>
      <c r="R18" s="5" t="str">
        <f t="shared" si="5"/>
        <v>2001:2:4::1</v>
      </c>
      <c r="T18" s="5">
        <f t="shared" si="12"/>
        <v>3</v>
      </c>
      <c r="U18" s="5">
        <f t="shared" si="18"/>
        <v>3</v>
      </c>
      <c r="V18" s="5" t="str">
        <f t="shared" si="13"/>
        <v>PC-66</v>
      </c>
      <c r="W18" s="5">
        <f t="shared" si="19"/>
        <v>3</v>
      </c>
      <c r="X18" s="5" t="str">
        <f t="shared" si="6"/>
        <v>2001:3:4::/112</v>
      </c>
      <c r="Y18" s="5" t="str">
        <f t="shared" si="7"/>
        <v>2001:3:4::4</v>
      </c>
      <c r="Z18" s="5">
        <v>112</v>
      </c>
      <c r="AA18" s="5" t="str">
        <f t="shared" si="8"/>
        <v>2001:3:4::1</v>
      </c>
    </row>
    <row r="19" spans="2:27" ht="16" x14ac:dyDescent="0.2">
      <c r="B19" s="5">
        <f t="shared" si="9"/>
        <v>1</v>
      </c>
      <c r="C19" s="5">
        <f t="shared" si="14"/>
        <v>3</v>
      </c>
      <c r="D19" s="5" t="s">
        <v>17</v>
      </c>
      <c r="E19" s="5">
        <f t="shared" si="15"/>
        <v>4</v>
      </c>
      <c r="F19" s="5" t="str">
        <f t="shared" si="0"/>
        <v>2001:1:4::/112</v>
      </c>
      <c r="G19" s="5" t="str">
        <f t="shared" si="1"/>
        <v>2001:1:4::5</v>
      </c>
      <c r="H19" s="5">
        <v>112</v>
      </c>
      <c r="I19" s="5" t="str">
        <f t="shared" si="2"/>
        <v>2001:1:4::1</v>
      </c>
      <c r="K19" s="5">
        <f t="shared" si="10"/>
        <v>2</v>
      </c>
      <c r="L19" s="5">
        <f t="shared" si="16"/>
        <v>3</v>
      </c>
      <c r="M19" s="5" t="str">
        <f t="shared" si="11"/>
        <v>PC-39</v>
      </c>
      <c r="N19" s="5">
        <f t="shared" si="17"/>
        <v>4</v>
      </c>
      <c r="O19" s="5" t="str">
        <f t="shared" si="3"/>
        <v>2001:2:4::/112</v>
      </c>
      <c r="P19" s="5" t="str">
        <f t="shared" si="4"/>
        <v>2001:2:4::5</v>
      </c>
      <c r="Q19" s="5">
        <v>112</v>
      </c>
      <c r="R19" s="5" t="str">
        <f t="shared" si="5"/>
        <v>2001:2:4::1</v>
      </c>
      <c r="T19" s="5">
        <f t="shared" si="12"/>
        <v>3</v>
      </c>
      <c r="U19" s="5">
        <f t="shared" si="18"/>
        <v>3</v>
      </c>
      <c r="V19" s="5" t="str">
        <f t="shared" si="13"/>
        <v>PC-67</v>
      </c>
      <c r="W19" s="5">
        <f t="shared" si="19"/>
        <v>4</v>
      </c>
      <c r="X19" s="5" t="str">
        <f t="shared" si="6"/>
        <v>2001:3:4::/112</v>
      </c>
      <c r="Y19" s="5" t="str">
        <f t="shared" si="7"/>
        <v>2001:3:4::5</v>
      </c>
      <c r="Z19" s="5">
        <v>112</v>
      </c>
      <c r="AA19" s="5" t="str">
        <f t="shared" si="8"/>
        <v>2001:3:4::1</v>
      </c>
    </row>
    <row r="20" spans="2:27" ht="16" x14ac:dyDescent="0.2">
      <c r="B20" s="5">
        <f t="shared" si="9"/>
        <v>1</v>
      </c>
      <c r="C20" s="5">
        <f>C16+1</f>
        <v>4</v>
      </c>
      <c r="D20" s="5" t="s">
        <v>18</v>
      </c>
      <c r="E20" s="5">
        <f t="shared" si="15"/>
        <v>1</v>
      </c>
      <c r="F20" s="5" t="str">
        <f t="shared" si="0"/>
        <v>2001:1:5::/112</v>
      </c>
      <c r="G20" s="5" t="str">
        <f t="shared" si="1"/>
        <v>2001:1:5::2</v>
      </c>
      <c r="H20" s="5">
        <v>112</v>
      </c>
      <c r="I20" s="5" t="str">
        <f t="shared" si="2"/>
        <v>2001:1:5::1</v>
      </c>
      <c r="K20" s="5">
        <f t="shared" si="10"/>
        <v>2</v>
      </c>
      <c r="L20" s="5">
        <f>L16+1</f>
        <v>4</v>
      </c>
      <c r="M20" s="5" t="str">
        <f t="shared" si="11"/>
        <v>PC-40</v>
      </c>
      <c r="N20" s="5">
        <f t="shared" si="17"/>
        <v>1</v>
      </c>
      <c r="O20" s="5" t="str">
        <f t="shared" si="3"/>
        <v>2001:2:5::/112</v>
      </c>
      <c r="P20" s="5" t="str">
        <f t="shared" si="4"/>
        <v>2001:2:5::2</v>
      </c>
      <c r="Q20" s="5">
        <v>112</v>
      </c>
      <c r="R20" s="5" t="str">
        <f t="shared" si="5"/>
        <v>2001:2:5::1</v>
      </c>
      <c r="T20" s="5">
        <f t="shared" si="12"/>
        <v>3</v>
      </c>
      <c r="U20" s="5">
        <f>U16+1</f>
        <v>4</v>
      </c>
      <c r="V20" s="5" t="str">
        <f t="shared" si="13"/>
        <v>PC-68</v>
      </c>
      <c r="W20" s="5">
        <f t="shared" si="19"/>
        <v>1</v>
      </c>
      <c r="X20" s="5" t="str">
        <f t="shared" si="6"/>
        <v>2001:3:5::/112</v>
      </c>
      <c r="Y20" s="5" t="str">
        <f t="shared" si="7"/>
        <v>2001:3:5::2</v>
      </c>
      <c r="Z20" s="5">
        <v>112</v>
      </c>
      <c r="AA20" s="5" t="str">
        <f t="shared" si="8"/>
        <v>2001:3:5::1</v>
      </c>
    </row>
    <row r="21" spans="2:27" ht="16" x14ac:dyDescent="0.2">
      <c r="B21" s="5">
        <f t="shared" si="9"/>
        <v>1</v>
      </c>
      <c r="C21" s="5">
        <f t="shared" si="14"/>
        <v>4</v>
      </c>
      <c r="D21" s="5" t="s">
        <v>19</v>
      </c>
      <c r="E21" s="5">
        <f t="shared" si="15"/>
        <v>2</v>
      </c>
      <c r="F21" s="5" t="str">
        <f t="shared" si="0"/>
        <v>2001:1:5::/112</v>
      </c>
      <c r="G21" s="5" t="str">
        <f t="shared" si="1"/>
        <v>2001:1:5::3</v>
      </c>
      <c r="H21" s="5">
        <v>112</v>
      </c>
      <c r="I21" s="5" t="str">
        <f t="shared" si="2"/>
        <v>2001:1:5::1</v>
      </c>
      <c r="K21" s="5">
        <f t="shared" si="10"/>
        <v>2</v>
      </c>
      <c r="L21" s="5">
        <f t="shared" si="16"/>
        <v>4</v>
      </c>
      <c r="M21" s="5" t="str">
        <f t="shared" si="11"/>
        <v>PC-41</v>
      </c>
      <c r="N21" s="5">
        <f t="shared" si="17"/>
        <v>2</v>
      </c>
      <c r="O21" s="5" t="str">
        <f t="shared" si="3"/>
        <v>2001:2:5::/112</v>
      </c>
      <c r="P21" s="5" t="str">
        <f t="shared" si="4"/>
        <v>2001:2:5::3</v>
      </c>
      <c r="Q21" s="5">
        <v>112</v>
      </c>
      <c r="R21" s="5" t="str">
        <f t="shared" si="5"/>
        <v>2001:2:5::1</v>
      </c>
      <c r="T21" s="5">
        <f t="shared" si="12"/>
        <v>3</v>
      </c>
      <c r="U21" s="5">
        <f t="shared" si="18"/>
        <v>4</v>
      </c>
      <c r="V21" s="5" t="str">
        <f t="shared" si="13"/>
        <v>PC-69</v>
      </c>
      <c r="W21" s="5">
        <f t="shared" si="19"/>
        <v>2</v>
      </c>
      <c r="X21" s="5" t="str">
        <f t="shared" si="6"/>
        <v>2001:3:5::/112</v>
      </c>
      <c r="Y21" s="5" t="str">
        <f t="shared" si="7"/>
        <v>2001:3:5::3</v>
      </c>
      <c r="Z21" s="5">
        <v>112</v>
      </c>
      <c r="AA21" s="5" t="str">
        <f t="shared" si="8"/>
        <v>2001:3:5::1</v>
      </c>
    </row>
    <row r="22" spans="2:27" ht="16" x14ac:dyDescent="0.2">
      <c r="B22" s="5">
        <f t="shared" si="9"/>
        <v>1</v>
      </c>
      <c r="C22" s="5">
        <f t="shared" si="14"/>
        <v>4</v>
      </c>
      <c r="D22" s="5" t="s">
        <v>20</v>
      </c>
      <c r="E22" s="5">
        <f t="shared" si="15"/>
        <v>3</v>
      </c>
      <c r="F22" s="5" t="str">
        <f t="shared" si="0"/>
        <v>2001:1:5::/112</v>
      </c>
      <c r="G22" s="5" t="str">
        <f t="shared" si="1"/>
        <v>2001:1:5::4</v>
      </c>
      <c r="H22" s="5">
        <v>112</v>
      </c>
      <c r="I22" s="5" t="str">
        <f t="shared" si="2"/>
        <v>2001:1:5::1</v>
      </c>
      <c r="K22" s="5">
        <f t="shared" si="10"/>
        <v>2</v>
      </c>
      <c r="L22" s="5">
        <f t="shared" si="16"/>
        <v>4</v>
      </c>
      <c r="M22" s="5" t="str">
        <f t="shared" si="11"/>
        <v>PC-42</v>
      </c>
      <c r="N22" s="5">
        <f t="shared" si="17"/>
        <v>3</v>
      </c>
      <c r="O22" s="5" t="str">
        <f t="shared" si="3"/>
        <v>2001:2:5::/112</v>
      </c>
      <c r="P22" s="5" t="str">
        <f t="shared" si="4"/>
        <v>2001:2:5::4</v>
      </c>
      <c r="Q22" s="5">
        <v>112</v>
      </c>
      <c r="R22" s="5" t="str">
        <f t="shared" si="5"/>
        <v>2001:2:5::1</v>
      </c>
      <c r="T22" s="5">
        <f t="shared" si="12"/>
        <v>3</v>
      </c>
      <c r="U22" s="5">
        <f t="shared" si="18"/>
        <v>4</v>
      </c>
      <c r="V22" s="5" t="str">
        <f t="shared" si="13"/>
        <v>PC-70</v>
      </c>
      <c r="W22" s="5">
        <f t="shared" si="19"/>
        <v>3</v>
      </c>
      <c r="X22" s="5" t="str">
        <f t="shared" si="6"/>
        <v>2001:3:5::/112</v>
      </c>
      <c r="Y22" s="5" t="str">
        <f t="shared" si="7"/>
        <v>2001:3:5::4</v>
      </c>
      <c r="Z22" s="5">
        <v>112</v>
      </c>
      <c r="AA22" s="5" t="str">
        <f t="shared" si="8"/>
        <v>2001:3:5::1</v>
      </c>
    </row>
    <row r="23" spans="2:27" ht="16" x14ac:dyDescent="0.2">
      <c r="B23" s="5">
        <f t="shared" si="9"/>
        <v>1</v>
      </c>
      <c r="C23" s="5">
        <f>C19+1</f>
        <v>4</v>
      </c>
      <c r="D23" s="5" t="s">
        <v>21</v>
      </c>
      <c r="E23" s="5">
        <f t="shared" si="15"/>
        <v>4</v>
      </c>
      <c r="F23" s="5" t="str">
        <f t="shared" si="0"/>
        <v>2001:1:5::/112</v>
      </c>
      <c r="G23" s="5" t="str">
        <f t="shared" si="1"/>
        <v>2001:1:5::5</v>
      </c>
      <c r="H23" s="5">
        <v>112</v>
      </c>
      <c r="I23" s="5" t="str">
        <f t="shared" si="2"/>
        <v>2001:1:5::1</v>
      </c>
      <c r="K23" s="5">
        <f t="shared" si="10"/>
        <v>2</v>
      </c>
      <c r="L23" s="5">
        <f>L19+1</f>
        <v>4</v>
      </c>
      <c r="M23" s="5" t="str">
        <f t="shared" si="11"/>
        <v>PC-43</v>
      </c>
      <c r="N23" s="5">
        <f t="shared" si="17"/>
        <v>4</v>
      </c>
      <c r="O23" s="5" t="str">
        <f t="shared" si="3"/>
        <v>2001:2:5::/112</v>
      </c>
      <c r="P23" s="5" t="str">
        <f t="shared" si="4"/>
        <v>2001:2:5::5</v>
      </c>
      <c r="Q23" s="5">
        <v>112</v>
      </c>
      <c r="R23" s="5" t="str">
        <f t="shared" si="5"/>
        <v>2001:2:5::1</v>
      </c>
      <c r="T23" s="5">
        <f t="shared" si="12"/>
        <v>3</v>
      </c>
      <c r="U23" s="5">
        <f>U19+1</f>
        <v>4</v>
      </c>
      <c r="V23" s="5" t="str">
        <f t="shared" si="13"/>
        <v>PC-71</v>
      </c>
      <c r="W23" s="5">
        <f t="shared" si="19"/>
        <v>4</v>
      </c>
      <c r="X23" s="5" t="str">
        <f t="shared" si="6"/>
        <v>2001:3:5::/112</v>
      </c>
      <c r="Y23" s="5" t="str">
        <f t="shared" si="7"/>
        <v>2001:3:5::5</v>
      </c>
      <c r="Z23" s="5">
        <v>112</v>
      </c>
      <c r="AA23" s="5" t="str">
        <f t="shared" si="8"/>
        <v>2001:3:5::1</v>
      </c>
    </row>
    <row r="24" spans="2:27" ht="16" x14ac:dyDescent="0.2">
      <c r="B24" s="5">
        <f t="shared" si="9"/>
        <v>1</v>
      </c>
      <c r="C24" s="5">
        <f t="shared" si="14"/>
        <v>5</v>
      </c>
      <c r="D24" s="5" t="s">
        <v>22</v>
      </c>
      <c r="E24" s="5">
        <f t="shared" si="15"/>
        <v>1</v>
      </c>
      <c r="F24" s="5" t="str">
        <f t="shared" si="0"/>
        <v>2001:1:6::/112</v>
      </c>
      <c r="G24" s="5" t="str">
        <f t="shared" si="1"/>
        <v>2001:1:6::2</v>
      </c>
      <c r="H24" s="5">
        <v>112</v>
      </c>
      <c r="I24" s="5" t="str">
        <f t="shared" si="2"/>
        <v>2001:1:6::1</v>
      </c>
      <c r="K24" s="5">
        <f t="shared" si="10"/>
        <v>2</v>
      </c>
      <c r="L24" s="5">
        <f t="shared" si="16"/>
        <v>5</v>
      </c>
      <c r="M24" s="5" t="str">
        <f t="shared" si="11"/>
        <v>PC-44</v>
      </c>
      <c r="N24" s="5">
        <f t="shared" si="17"/>
        <v>1</v>
      </c>
      <c r="O24" s="5" t="str">
        <f t="shared" si="3"/>
        <v>2001:2:6::/112</v>
      </c>
      <c r="P24" s="5" t="str">
        <f t="shared" si="4"/>
        <v>2001:2:6::2</v>
      </c>
      <c r="Q24" s="5">
        <v>112</v>
      </c>
      <c r="R24" s="5" t="str">
        <f t="shared" si="5"/>
        <v>2001:2:6::1</v>
      </c>
      <c r="T24" s="5">
        <f t="shared" si="12"/>
        <v>3</v>
      </c>
      <c r="U24" s="5">
        <f t="shared" si="18"/>
        <v>5</v>
      </c>
      <c r="V24" s="5" t="str">
        <f t="shared" si="13"/>
        <v>PC-72</v>
      </c>
      <c r="W24" s="5">
        <f t="shared" si="19"/>
        <v>1</v>
      </c>
      <c r="X24" s="5" t="str">
        <f t="shared" si="6"/>
        <v>2001:3:6::/112</v>
      </c>
      <c r="Y24" s="5" t="str">
        <f t="shared" si="7"/>
        <v>2001:3:6::2</v>
      </c>
      <c r="Z24" s="5">
        <v>112</v>
      </c>
      <c r="AA24" s="5" t="str">
        <f t="shared" si="8"/>
        <v>2001:3:6::1</v>
      </c>
    </row>
    <row r="25" spans="2:27" ht="16" x14ac:dyDescent="0.2">
      <c r="B25" s="5">
        <f t="shared" si="9"/>
        <v>1</v>
      </c>
      <c r="C25" s="5">
        <f t="shared" si="14"/>
        <v>5</v>
      </c>
      <c r="D25" s="5" t="s">
        <v>23</v>
      </c>
      <c r="E25" s="5">
        <f t="shared" si="15"/>
        <v>2</v>
      </c>
      <c r="F25" s="5" t="str">
        <f t="shared" si="0"/>
        <v>2001:1:6::/112</v>
      </c>
      <c r="G25" s="5" t="str">
        <f t="shared" si="1"/>
        <v>2001:1:6::3</v>
      </c>
      <c r="H25" s="5">
        <v>112</v>
      </c>
      <c r="I25" s="5" t="str">
        <f t="shared" si="2"/>
        <v>2001:1:6::1</v>
      </c>
      <c r="K25" s="5">
        <f t="shared" si="10"/>
        <v>2</v>
      </c>
      <c r="L25" s="5">
        <f t="shared" si="16"/>
        <v>5</v>
      </c>
      <c r="M25" s="5" t="str">
        <f t="shared" si="11"/>
        <v>PC-45</v>
      </c>
      <c r="N25" s="5">
        <f t="shared" si="17"/>
        <v>2</v>
      </c>
      <c r="O25" s="5" t="str">
        <f t="shared" si="3"/>
        <v>2001:2:6::/112</v>
      </c>
      <c r="P25" s="5" t="str">
        <f t="shared" si="4"/>
        <v>2001:2:6::3</v>
      </c>
      <c r="Q25" s="5">
        <v>112</v>
      </c>
      <c r="R25" s="5" t="str">
        <f t="shared" si="5"/>
        <v>2001:2:6::1</v>
      </c>
      <c r="T25" s="5">
        <f t="shared" si="12"/>
        <v>3</v>
      </c>
      <c r="U25" s="5">
        <f t="shared" si="18"/>
        <v>5</v>
      </c>
      <c r="V25" s="5" t="str">
        <f t="shared" si="13"/>
        <v>PC-73</v>
      </c>
      <c r="W25" s="5">
        <f t="shared" si="19"/>
        <v>2</v>
      </c>
      <c r="X25" s="5" t="str">
        <f t="shared" si="6"/>
        <v>2001:3:6::/112</v>
      </c>
      <c r="Y25" s="5" t="str">
        <f t="shared" si="7"/>
        <v>2001:3:6::3</v>
      </c>
      <c r="Z25" s="5">
        <v>112</v>
      </c>
      <c r="AA25" s="5" t="str">
        <f t="shared" si="8"/>
        <v>2001:3:6::1</v>
      </c>
    </row>
    <row r="26" spans="2:27" ht="16" x14ac:dyDescent="0.2">
      <c r="B26" s="5">
        <f t="shared" si="9"/>
        <v>1</v>
      </c>
      <c r="C26" s="5">
        <f>C22+1</f>
        <v>5</v>
      </c>
      <c r="D26" s="5" t="s">
        <v>24</v>
      </c>
      <c r="E26" s="5">
        <f t="shared" si="15"/>
        <v>3</v>
      </c>
      <c r="F26" s="5" t="str">
        <f t="shared" si="0"/>
        <v>2001:1:6::/112</v>
      </c>
      <c r="G26" s="5" t="str">
        <f t="shared" si="1"/>
        <v>2001:1:6::4</v>
      </c>
      <c r="H26" s="5">
        <v>112</v>
      </c>
      <c r="I26" s="5" t="str">
        <f t="shared" si="2"/>
        <v>2001:1:6::1</v>
      </c>
      <c r="K26" s="5">
        <f t="shared" si="10"/>
        <v>2</v>
      </c>
      <c r="L26" s="5">
        <f>L22+1</f>
        <v>5</v>
      </c>
      <c r="M26" s="5" t="str">
        <f t="shared" si="11"/>
        <v>PC-46</v>
      </c>
      <c r="N26" s="5">
        <f t="shared" si="17"/>
        <v>3</v>
      </c>
      <c r="O26" s="5" t="str">
        <f t="shared" si="3"/>
        <v>2001:2:6::/112</v>
      </c>
      <c r="P26" s="5" t="str">
        <f t="shared" si="4"/>
        <v>2001:2:6::4</v>
      </c>
      <c r="Q26" s="5">
        <v>112</v>
      </c>
      <c r="R26" s="5" t="str">
        <f t="shared" si="5"/>
        <v>2001:2:6::1</v>
      </c>
      <c r="T26" s="5">
        <f t="shared" si="12"/>
        <v>3</v>
      </c>
      <c r="U26" s="5">
        <f>U22+1</f>
        <v>5</v>
      </c>
      <c r="V26" s="5" t="str">
        <f t="shared" si="13"/>
        <v>PC-74</v>
      </c>
      <c r="W26" s="5">
        <f t="shared" si="19"/>
        <v>3</v>
      </c>
      <c r="X26" s="5" t="str">
        <f t="shared" si="6"/>
        <v>2001:3:6::/112</v>
      </c>
      <c r="Y26" s="5" t="str">
        <f t="shared" si="7"/>
        <v>2001:3:6::4</v>
      </c>
      <c r="Z26" s="5">
        <v>112</v>
      </c>
      <c r="AA26" s="5" t="str">
        <f t="shared" si="8"/>
        <v>2001:3:6::1</v>
      </c>
    </row>
    <row r="27" spans="2:27" ht="16" x14ac:dyDescent="0.2">
      <c r="B27" s="5">
        <f t="shared" si="9"/>
        <v>1</v>
      </c>
      <c r="C27" s="5">
        <f t="shared" si="14"/>
        <v>5</v>
      </c>
      <c r="D27" s="5" t="s">
        <v>25</v>
      </c>
      <c r="E27" s="5">
        <f t="shared" si="15"/>
        <v>4</v>
      </c>
      <c r="F27" s="5" t="str">
        <f t="shared" si="0"/>
        <v>2001:1:6::/112</v>
      </c>
      <c r="G27" s="5" t="str">
        <f t="shared" si="1"/>
        <v>2001:1:6::5</v>
      </c>
      <c r="H27" s="5">
        <v>112</v>
      </c>
      <c r="I27" s="5" t="str">
        <f t="shared" si="2"/>
        <v>2001:1:6::1</v>
      </c>
      <c r="K27" s="5">
        <f t="shared" si="10"/>
        <v>2</v>
      </c>
      <c r="L27" s="5">
        <f t="shared" si="16"/>
        <v>5</v>
      </c>
      <c r="M27" s="5" t="str">
        <f t="shared" si="11"/>
        <v>PC-47</v>
      </c>
      <c r="N27" s="5">
        <f t="shared" si="17"/>
        <v>4</v>
      </c>
      <c r="O27" s="5" t="str">
        <f t="shared" si="3"/>
        <v>2001:2:6::/112</v>
      </c>
      <c r="P27" s="5" t="str">
        <f t="shared" si="4"/>
        <v>2001:2:6::5</v>
      </c>
      <c r="Q27" s="5">
        <v>112</v>
      </c>
      <c r="R27" s="5" t="str">
        <f t="shared" si="5"/>
        <v>2001:2:6::1</v>
      </c>
      <c r="T27" s="5">
        <f t="shared" si="12"/>
        <v>3</v>
      </c>
      <c r="U27" s="5">
        <f t="shared" si="18"/>
        <v>5</v>
      </c>
      <c r="V27" s="5" t="str">
        <f t="shared" si="13"/>
        <v>PC-75</v>
      </c>
      <c r="W27" s="5">
        <f t="shared" si="19"/>
        <v>4</v>
      </c>
      <c r="X27" s="5" t="str">
        <f t="shared" si="6"/>
        <v>2001:3:6::/112</v>
      </c>
      <c r="Y27" s="5" t="str">
        <f t="shared" si="7"/>
        <v>2001:3:6::5</v>
      </c>
      <c r="Z27" s="5">
        <v>112</v>
      </c>
      <c r="AA27" s="5" t="str">
        <f t="shared" si="8"/>
        <v>2001:3:6::1</v>
      </c>
    </row>
    <row r="28" spans="2:27" ht="16" x14ac:dyDescent="0.2">
      <c r="K28" s="5">
        <f>K27</f>
        <v>2</v>
      </c>
      <c r="L28" s="5">
        <f t="shared" si="16"/>
        <v>6</v>
      </c>
      <c r="M28" s="5" t="str">
        <f t="shared" si="11"/>
        <v>PC-48</v>
      </c>
      <c r="N28" s="5">
        <f t="shared" si="17"/>
        <v>1</v>
      </c>
      <c r="O28" s="5" t="str">
        <f t="shared" si="3"/>
        <v>2001:2:7::/112</v>
      </c>
      <c r="P28" s="5" t="str">
        <f t="shared" si="4"/>
        <v>2001:2:7::2</v>
      </c>
      <c r="Q28" s="5">
        <v>112</v>
      </c>
      <c r="R28" s="5" t="str">
        <f t="shared" si="5"/>
        <v>2001:2:7::1</v>
      </c>
      <c r="T28" s="5">
        <f>T27</f>
        <v>3</v>
      </c>
      <c r="U28" s="5">
        <f t="shared" si="18"/>
        <v>6</v>
      </c>
      <c r="V28" s="5" t="str">
        <f t="shared" si="13"/>
        <v>PC-76</v>
      </c>
      <c r="W28" s="5">
        <f t="shared" si="19"/>
        <v>1</v>
      </c>
      <c r="X28" s="5" t="str">
        <f t="shared" si="6"/>
        <v>2001:3:7::/112</v>
      </c>
      <c r="Y28" s="5" t="str">
        <f t="shared" si="7"/>
        <v>2001:3:7::2</v>
      </c>
      <c r="Z28" s="5">
        <v>112</v>
      </c>
      <c r="AA28" s="5" t="str">
        <f t="shared" si="8"/>
        <v>2001:3:7::1</v>
      </c>
    </row>
    <row r="29" spans="2:27" ht="16" x14ac:dyDescent="0.2">
      <c r="K29" s="5">
        <f t="shared" si="10"/>
        <v>2</v>
      </c>
      <c r="L29" s="5">
        <f t="shared" si="16"/>
        <v>6</v>
      </c>
      <c r="M29" s="5" t="str">
        <f t="shared" si="11"/>
        <v>PC-49</v>
      </c>
      <c r="N29" s="5">
        <f t="shared" si="17"/>
        <v>2</v>
      </c>
      <c r="O29" s="5" t="str">
        <f t="shared" si="3"/>
        <v>2001:2:7::/112</v>
      </c>
      <c r="P29" s="5" t="str">
        <f t="shared" si="4"/>
        <v>2001:2:7::3</v>
      </c>
      <c r="Q29" s="5">
        <v>112</v>
      </c>
      <c r="R29" s="5" t="str">
        <f t="shared" si="5"/>
        <v>2001:2:7::1</v>
      </c>
      <c r="T29" s="5">
        <f t="shared" si="12"/>
        <v>3</v>
      </c>
      <c r="U29" s="5">
        <f t="shared" si="18"/>
        <v>6</v>
      </c>
      <c r="V29" s="5" t="str">
        <f t="shared" si="13"/>
        <v>PC-77</v>
      </c>
      <c r="W29" s="5">
        <f t="shared" si="19"/>
        <v>2</v>
      </c>
      <c r="X29" s="5" t="str">
        <f t="shared" si="6"/>
        <v>2001:3:7::/112</v>
      </c>
      <c r="Y29" s="5" t="str">
        <f t="shared" si="7"/>
        <v>2001:3:7::3</v>
      </c>
      <c r="Z29" s="5">
        <v>112</v>
      </c>
      <c r="AA29" s="5" t="str">
        <f t="shared" si="8"/>
        <v>2001:3:7::1</v>
      </c>
    </row>
    <row r="30" spans="2:27" ht="16" x14ac:dyDescent="0.2">
      <c r="K30" s="5">
        <f t="shared" si="10"/>
        <v>2</v>
      </c>
      <c r="L30" s="5">
        <f t="shared" si="16"/>
        <v>6</v>
      </c>
      <c r="M30" s="5" t="str">
        <f t="shared" si="11"/>
        <v>PC-50</v>
      </c>
      <c r="N30" s="5">
        <f t="shared" si="17"/>
        <v>3</v>
      </c>
      <c r="O30" s="5" t="str">
        <f t="shared" si="3"/>
        <v>2001:2:7::/112</v>
      </c>
      <c r="P30" s="5" t="str">
        <f t="shared" si="4"/>
        <v>2001:2:7::4</v>
      </c>
      <c r="Q30" s="5">
        <v>112</v>
      </c>
      <c r="R30" s="5" t="str">
        <f t="shared" si="5"/>
        <v>2001:2:7::1</v>
      </c>
      <c r="T30" s="5">
        <f t="shared" si="12"/>
        <v>3</v>
      </c>
      <c r="U30" s="5">
        <f t="shared" si="18"/>
        <v>6</v>
      </c>
      <c r="V30" s="5" t="str">
        <f t="shared" si="13"/>
        <v>PC-78</v>
      </c>
      <c r="W30" s="5">
        <f t="shared" si="19"/>
        <v>3</v>
      </c>
      <c r="X30" s="5" t="str">
        <f t="shared" si="6"/>
        <v>2001:3:7::/112</v>
      </c>
      <c r="Y30" s="5" t="str">
        <f t="shared" si="7"/>
        <v>2001:3:7::4</v>
      </c>
      <c r="Z30" s="5">
        <v>112</v>
      </c>
      <c r="AA30" s="5" t="str">
        <f t="shared" si="8"/>
        <v>2001:3:7::1</v>
      </c>
    </row>
    <row r="31" spans="2:27" ht="16" x14ac:dyDescent="0.2">
      <c r="K31" s="5">
        <f t="shared" si="10"/>
        <v>2</v>
      </c>
      <c r="L31" s="5">
        <f t="shared" si="16"/>
        <v>6</v>
      </c>
      <c r="M31" s="5" t="str">
        <f t="shared" si="11"/>
        <v>PC-51</v>
      </c>
      <c r="N31" s="5">
        <f t="shared" si="17"/>
        <v>4</v>
      </c>
      <c r="O31" s="5" t="str">
        <f t="shared" si="3"/>
        <v>2001:2:7::/112</v>
      </c>
      <c r="P31" s="5" t="str">
        <f t="shared" si="4"/>
        <v>2001:2:7::5</v>
      </c>
      <c r="Q31" s="5">
        <v>112</v>
      </c>
      <c r="R31" s="5" t="str">
        <f t="shared" si="5"/>
        <v>2001:2:7::1</v>
      </c>
      <c r="T31" s="5">
        <f t="shared" si="12"/>
        <v>3</v>
      </c>
      <c r="U31" s="5">
        <f t="shared" si="18"/>
        <v>6</v>
      </c>
      <c r="V31" s="5" t="str">
        <f t="shared" si="13"/>
        <v>PC-79</v>
      </c>
      <c r="W31" s="5">
        <f t="shared" si="19"/>
        <v>4</v>
      </c>
      <c r="X31" s="5" t="str">
        <f t="shared" si="6"/>
        <v>2001:3:7::/112</v>
      </c>
      <c r="Y31" s="5" t="str">
        <f t="shared" si="7"/>
        <v>2001:3:7::5</v>
      </c>
      <c r="Z31" s="5">
        <v>112</v>
      </c>
      <c r="AA31" s="5" t="str">
        <f t="shared" si="8"/>
        <v>2001:3:7::1</v>
      </c>
    </row>
    <row r="32" spans="2:27" ht="16" x14ac:dyDescent="0.2">
      <c r="K32" s="5"/>
      <c r="L32" s="5"/>
      <c r="M32" s="5"/>
      <c r="N32" s="5"/>
      <c r="O32" s="5"/>
      <c r="P32" s="5"/>
      <c r="Q32" s="5"/>
      <c r="R32" s="5"/>
      <c r="T32" s="5">
        <f t="shared" si="12"/>
        <v>3</v>
      </c>
      <c r="U32" s="5">
        <f t="shared" si="18"/>
        <v>7</v>
      </c>
      <c r="V32" s="5" t="str">
        <f t="shared" si="13"/>
        <v>PC-80</v>
      </c>
      <c r="W32" s="5">
        <f t="shared" si="19"/>
        <v>1</v>
      </c>
      <c r="X32" s="5" t="str">
        <f t="shared" si="6"/>
        <v>2001:3:8::/112</v>
      </c>
      <c r="Y32" s="5" t="str">
        <f t="shared" si="7"/>
        <v>2001:3:8::2</v>
      </c>
      <c r="Z32" s="5">
        <v>112</v>
      </c>
      <c r="AA32" s="5" t="str">
        <f t="shared" si="8"/>
        <v>2001:3:8::1</v>
      </c>
    </row>
    <row r="33" spans="11:27" ht="16" x14ac:dyDescent="0.2">
      <c r="K33" s="5"/>
      <c r="L33" s="5"/>
      <c r="M33" s="5"/>
      <c r="N33" s="5"/>
      <c r="O33" s="5"/>
      <c r="P33" s="5"/>
      <c r="Q33" s="5"/>
      <c r="R33" s="5"/>
      <c r="T33" s="5">
        <f t="shared" si="12"/>
        <v>3</v>
      </c>
      <c r="U33" s="5">
        <f t="shared" si="18"/>
        <v>7</v>
      </c>
      <c r="V33" s="5" t="str">
        <f t="shared" si="13"/>
        <v>PC-81</v>
      </c>
      <c r="W33" s="5">
        <f t="shared" si="19"/>
        <v>2</v>
      </c>
      <c r="X33" s="5" t="str">
        <f t="shared" si="6"/>
        <v>2001:3:8::/112</v>
      </c>
      <c r="Y33" s="5" t="str">
        <f t="shared" si="7"/>
        <v>2001:3:8::3</v>
      </c>
      <c r="Z33" s="5">
        <v>112</v>
      </c>
      <c r="AA33" s="5" t="str">
        <f t="shared" si="8"/>
        <v>2001:3:8::1</v>
      </c>
    </row>
    <row r="34" spans="11:27" ht="16" x14ac:dyDescent="0.2">
      <c r="K34" s="5"/>
      <c r="L34" s="5"/>
      <c r="M34" s="5"/>
      <c r="N34" s="5"/>
      <c r="O34" s="5"/>
      <c r="P34" s="5"/>
      <c r="Q34" s="5"/>
      <c r="R34" s="5"/>
      <c r="T34" s="5">
        <f t="shared" si="12"/>
        <v>3</v>
      </c>
      <c r="U34" s="5">
        <f t="shared" si="18"/>
        <v>7</v>
      </c>
      <c r="V34" s="5" t="str">
        <f t="shared" si="13"/>
        <v>PC-82</v>
      </c>
      <c r="W34" s="5">
        <f t="shared" si="19"/>
        <v>3</v>
      </c>
      <c r="X34" s="5" t="str">
        <f t="shared" si="6"/>
        <v>2001:3:8::/112</v>
      </c>
      <c r="Y34" s="5" t="str">
        <f t="shared" si="7"/>
        <v>2001:3:8::4</v>
      </c>
      <c r="Z34" s="5">
        <v>112</v>
      </c>
      <c r="AA34" s="5" t="str">
        <f t="shared" si="8"/>
        <v>2001:3:8::1</v>
      </c>
    </row>
    <row r="35" spans="11:27" ht="16" x14ac:dyDescent="0.2">
      <c r="K35" s="5"/>
      <c r="L35" s="5"/>
      <c r="M35" s="5"/>
      <c r="N35" s="5"/>
      <c r="O35" s="5"/>
      <c r="P35" s="5"/>
      <c r="Q35" s="5"/>
      <c r="R35" s="5"/>
      <c r="T35" s="5">
        <f t="shared" si="12"/>
        <v>3</v>
      </c>
      <c r="U35" s="5">
        <f t="shared" si="18"/>
        <v>7</v>
      </c>
      <c r="V35" s="5" t="str">
        <f t="shared" si="13"/>
        <v>PC-83</v>
      </c>
      <c r="W35" s="5">
        <f t="shared" si="19"/>
        <v>4</v>
      </c>
      <c r="X35" s="5" t="str">
        <f t="shared" si="6"/>
        <v>2001:3:8::/112</v>
      </c>
      <c r="Y35" s="5" t="str">
        <f t="shared" si="7"/>
        <v>2001:3:8::5</v>
      </c>
      <c r="Z35" s="5">
        <v>112</v>
      </c>
      <c r="AA35" s="5" t="str">
        <f t="shared" si="8"/>
        <v>2001:3:8::1</v>
      </c>
    </row>
    <row r="36" spans="11:27" ht="16" x14ac:dyDescent="0.2">
      <c r="T36" s="5">
        <f t="shared" si="12"/>
        <v>3</v>
      </c>
      <c r="U36" s="5">
        <f t="shared" si="18"/>
        <v>8</v>
      </c>
      <c r="V36" s="5" t="str">
        <f t="shared" si="13"/>
        <v>PC-84</v>
      </c>
      <c r="W36" s="5">
        <f t="shared" si="19"/>
        <v>1</v>
      </c>
      <c r="X36" s="5" t="str">
        <f t="shared" si="6"/>
        <v>2001:3:9::/112</v>
      </c>
      <c r="Y36" s="5" t="str">
        <f t="shared" si="7"/>
        <v>2001:3:9::2</v>
      </c>
      <c r="Z36" s="5">
        <v>112</v>
      </c>
      <c r="AA36" s="5" t="str">
        <f t="shared" si="8"/>
        <v>2001:3:9::1</v>
      </c>
    </row>
    <row r="37" spans="11:27" ht="16" x14ac:dyDescent="0.2">
      <c r="T37" s="5">
        <f t="shared" si="12"/>
        <v>3</v>
      </c>
      <c r="U37" s="5">
        <f t="shared" si="18"/>
        <v>8</v>
      </c>
      <c r="V37" s="5" t="str">
        <f t="shared" si="13"/>
        <v>PC-85</v>
      </c>
      <c r="W37" s="5">
        <f t="shared" si="19"/>
        <v>2</v>
      </c>
      <c r="X37" s="5" t="str">
        <f t="shared" si="6"/>
        <v>2001:3:9::/112</v>
      </c>
      <c r="Y37" s="5" t="str">
        <f t="shared" si="7"/>
        <v>2001:3:9::3</v>
      </c>
      <c r="Z37" s="5">
        <v>112</v>
      </c>
      <c r="AA37" s="5" t="str">
        <f t="shared" si="8"/>
        <v>2001:3:9::1</v>
      </c>
    </row>
    <row r="38" spans="11:27" ht="16" x14ac:dyDescent="0.2">
      <c r="T38" s="5">
        <f t="shared" si="12"/>
        <v>3</v>
      </c>
      <c r="U38" s="5">
        <f t="shared" si="18"/>
        <v>8</v>
      </c>
      <c r="V38" s="5" t="str">
        <f t="shared" si="13"/>
        <v>PC-86</v>
      </c>
      <c r="W38" s="5">
        <f t="shared" si="19"/>
        <v>3</v>
      </c>
      <c r="X38" s="5" t="str">
        <f t="shared" si="6"/>
        <v>2001:3:9::/112</v>
      </c>
      <c r="Y38" s="5" t="str">
        <f t="shared" si="7"/>
        <v>2001:3:9::4</v>
      </c>
      <c r="Z38" s="5">
        <v>112</v>
      </c>
      <c r="AA38" s="5" t="str">
        <f t="shared" si="8"/>
        <v>2001:3:9::1</v>
      </c>
    </row>
    <row r="39" spans="11:27" ht="16" x14ac:dyDescent="0.2">
      <c r="T39" s="5">
        <f t="shared" si="12"/>
        <v>3</v>
      </c>
      <c r="U39" s="5">
        <f t="shared" si="18"/>
        <v>8</v>
      </c>
      <c r="V39" s="5" t="str">
        <f t="shared" si="13"/>
        <v>PC-87</v>
      </c>
      <c r="W39" s="5">
        <f t="shared" si="19"/>
        <v>4</v>
      </c>
      <c r="X39" s="5" t="str">
        <f t="shared" si="6"/>
        <v>2001:3:9::/112</v>
      </c>
      <c r="Y39" s="5" t="str">
        <f t="shared" si="7"/>
        <v>2001:3:9::5</v>
      </c>
      <c r="Z39" s="5">
        <v>112</v>
      </c>
      <c r="AA39" s="5" t="str">
        <f t="shared" si="8"/>
        <v>2001:3:9::1</v>
      </c>
    </row>
    <row r="40" spans="11:27" ht="16" x14ac:dyDescent="0.2">
      <c r="T40" s="5">
        <f t="shared" si="12"/>
        <v>3</v>
      </c>
      <c r="U40" s="5">
        <f t="shared" si="18"/>
        <v>9</v>
      </c>
      <c r="V40" s="5" t="str">
        <f t="shared" si="13"/>
        <v>PC-88</v>
      </c>
      <c r="W40" s="5">
        <f t="shared" si="19"/>
        <v>1</v>
      </c>
      <c r="X40" s="5" t="str">
        <f t="shared" si="6"/>
        <v>2001:3:10::/112</v>
      </c>
      <c r="Y40" s="5" t="str">
        <f t="shared" si="7"/>
        <v>2001:3:10::2</v>
      </c>
      <c r="Z40" s="5">
        <v>112</v>
      </c>
      <c r="AA40" s="5" t="str">
        <f t="shared" si="8"/>
        <v>2001:3:10::1</v>
      </c>
    </row>
    <row r="41" spans="11:27" ht="16" x14ac:dyDescent="0.2">
      <c r="T41" s="5">
        <f t="shared" si="12"/>
        <v>3</v>
      </c>
      <c r="U41" s="5">
        <f t="shared" si="18"/>
        <v>9</v>
      </c>
      <c r="V41" s="5" t="str">
        <f t="shared" si="13"/>
        <v>PC-89</v>
      </c>
      <c r="W41" s="5">
        <f t="shared" si="19"/>
        <v>2</v>
      </c>
      <c r="X41" s="5" t="str">
        <f t="shared" si="6"/>
        <v>2001:3:10::/112</v>
      </c>
      <c r="Y41" s="5" t="str">
        <f t="shared" si="7"/>
        <v>2001:3:10::3</v>
      </c>
      <c r="Z41" s="5">
        <v>112</v>
      </c>
      <c r="AA41" s="5" t="str">
        <f t="shared" si="8"/>
        <v>2001:3:10::1</v>
      </c>
    </row>
    <row r="42" spans="11:27" ht="16" x14ac:dyDescent="0.2">
      <c r="T42" s="5">
        <f t="shared" si="12"/>
        <v>3</v>
      </c>
      <c r="U42" s="5">
        <f t="shared" si="18"/>
        <v>9</v>
      </c>
      <c r="V42" s="5" t="str">
        <f t="shared" si="13"/>
        <v>PC-90</v>
      </c>
      <c r="W42" s="5">
        <f t="shared" si="19"/>
        <v>3</v>
      </c>
      <c r="X42" s="5" t="str">
        <f t="shared" si="6"/>
        <v>2001:3:10::/112</v>
      </c>
      <c r="Y42" s="5" t="str">
        <f t="shared" si="7"/>
        <v>2001:3:10::4</v>
      </c>
      <c r="Z42" s="5">
        <v>112</v>
      </c>
      <c r="AA42" s="5" t="str">
        <f t="shared" si="8"/>
        <v>2001:3:10::1</v>
      </c>
    </row>
    <row r="43" spans="11:27" ht="16" x14ac:dyDescent="0.2">
      <c r="T43" s="5">
        <f t="shared" si="12"/>
        <v>3</v>
      </c>
      <c r="U43" s="5">
        <f t="shared" si="18"/>
        <v>9</v>
      </c>
      <c r="V43" s="5" t="str">
        <f t="shared" si="13"/>
        <v>PC-91</v>
      </c>
      <c r="W43" s="5">
        <f t="shared" si="19"/>
        <v>4</v>
      </c>
      <c r="X43" s="5" t="str">
        <f t="shared" si="6"/>
        <v>2001:3:10::/112</v>
      </c>
      <c r="Y43" s="5" t="str">
        <f t="shared" si="7"/>
        <v>2001:3:10::5</v>
      </c>
      <c r="Z43" s="5">
        <v>112</v>
      </c>
      <c r="AA43" s="5" t="str">
        <f t="shared" si="8"/>
        <v>2001:3:10::1</v>
      </c>
    </row>
    <row r="44" spans="11:27" ht="16" x14ac:dyDescent="0.2">
      <c r="T44" s="5">
        <f t="shared" si="12"/>
        <v>3</v>
      </c>
      <c r="U44" s="5">
        <f t="shared" si="18"/>
        <v>10</v>
      </c>
      <c r="V44" s="5" t="str">
        <f t="shared" si="13"/>
        <v>PC-92</v>
      </c>
      <c r="W44" s="5">
        <f t="shared" si="19"/>
        <v>1</v>
      </c>
      <c r="X44" s="5" t="str">
        <f t="shared" si="6"/>
        <v>2001:3:11::/112</v>
      </c>
      <c r="Y44" s="5" t="str">
        <f t="shared" si="7"/>
        <v>2001:3:11::2</v>
      </c>
      <c r="Z44" s="5">
        <v>112</v>
      </c>
      <c r="AA44" s="5" t="str">
        <f t="shared" si="8"/>
        <v>2001:3:11::1</v>
      </c>
    </row>
    <row r="45" spans="11:27" ht="16" x14ac:dyDescent="0.2">
      <c r="T45" s="5">
        <f t="shared" si="12"/>
        <v>3</v>
      </c>
      <c r="U45" s="5">
        <f t="shared" si="18"/>
        <v>10</v>
      </c>
      <c r="V45" s="5" t="str">
        <f t="shared" si="13"/>
        <v>PC-93</v>
      </c>
      <c r="W45" s="5">
        <f t="shared" si="19"/>
        <v>2</v>
      </c>
      <c r="X45" s="5" t="str">
        <f t="shared" si="6"/>
        <v>2001:3:11::/112</v>
      </c>
      <c r="Y45" s="5" t="str">
        <f t="shared" si="7"/>
        <v>2001:3:11::3</v>
      </c>
      <c r="Z45" s="5">
        <v>112</v>
      </c>
      <c r="AA45" s="5" t="str">
        <f t="shared" si="8"/>
        <v>2001:3:11::1</v>
      </c>
    </row>
    <row r="46" spans="11:27" ht="16" x14ac:dyDescent="0.2">
      <c r="T46" s="5">
        <f t="shared" si="12"/>
        <v>3</v>
      </c>
      <c r="U46" s="5">
        <f t="shared" si="18"/>
        <v>10</v>
      </c>
      <c r="V46" s="5" t="str">
        <f t="shared" si="13"/>
        <v>PC-94</v>
      </c>
      <c r="W46" s="5">
        <f t="shared" si="19"/>
        <v>3</v>
      </c>
      <c r="X46" s="5" t="str">
        <f t="shared" si="6"/>
        <v>2001:3:11::/112</v>
      </c>
      <c r="Y46" s="5" t="str">
        <f t="shared" si="7"/>
        <v>2001:3:11::4</v>
      </c>
      <c r="Z46" s="5">
        <v>112</v>
      </c>
      <c r="AA46" s="5" t="str">
        <f t="shared" si="8"/>
        <v>2001:3:11::1</v>
      </c>
    </row>
    <row r="47" spans="11:27" ht="16" x14ac:dyDescent="0.2">
      <c r="T47" s="5">
        <f t="shared" si="12"/>
        <v>3</v>
      </c>
      <c r="U47" s="5">
        <f t="shared" si="18"/>
        <v>10</v>
      </c>
      <c r="V47" s="5" t="str">
        <f t="shared" si="13"/>
        <v>PC-95</v>
      </c>
      <c r="W47" s="5">
        <f t="shared" si="19"/>
        <v>4</v>
      </c>
      <c r="X47" s="5" t="str">
        <f t="shared" si="6"/>
        <v>2001:3:11::/112</v>
      </c>
      <c r="Y47" s="5" t="str">
        <f t="shared" si="7"/>
        <v>2001:3:11::5</v>
      </c>
      <c r="Z47" s="5">
        <v>112</v>
      </c>
      <c r="AA47" s="5" t="str">
        <f t="shared" si="8"/>
        <v>2001:3:11::1</v>
      </c>
    </row>
    <row r="48" spans="11:27" ht="16" x14ac:dyDescent="0.2">
      <c r="T48" s="5">
        <f t="shared" si="12"/>
        <v>3</v>
      </c>
      <c r="U48" s="5">
        <f t="shared" si="18"/>
        <v>11</v>
      </c>
      <c r="V48" s="5" t="str">
        <f t="shared" si="13"/>
        <v>PC-96</v>
      </c>
      <c r="W48" s="5">
        <f t="shared" si="19"/>
        <v>1</v>
      </c>
      <c r="X48" s="5" t="str">
        <f t="shared" si="6"/>
        <v>2001:3:12::/112</v>
      </c>
      <c r="Y48" s="5" t="str">
        <f t="shared" si="7"/>
        <v>2001:3:12::2</v>
      </c>
      <c r="Z48" s="5">
        <v>112</v>
      </c>
      <c r="AA48" s="5" t="str">
        <f t="shared" si="8"/>
        <v>2001:3:12::1</v>
      </c>
    </row>
    <row r="49" spans="20:27" ht="16" x14ac:dyDescent="0.2">
      <c r="T49" s="5">
        <f t="shared" si="12"/>
        <v>3</v>
      </c>
      <c r="U49" s="5">
        <f t="shared" si="18"/>
        <v>11</v>
      </c>
      <c r="V49" s="5" t="str">
        <f t="shared" si="13"/>
        <v>PC-97</v>
      </c>
      <c r="W49" s="5">
        <f t="shared" si="19"/>
        <v>2</v>
      </c>
      <c r="X49" s="5" t="str">
        <f t="shared" si="6"/>
        <v>2001:3:12::/112</v>
      </c>
      <c r="Y49" s="5" t="str">
        <f t="shared" si="7"/>
        <v>2001:3:12::3</v>
      </c>
      <c r="Z49" s="5">
        <v>112</v>
      </c>
      <c r="AA49" s="5" t="str">
        <f t="shared" si="8"/>
        <v>2001:3:12::1</v>
      </c>
    </row>
    <row r="50" spans="20:27" ht="16" x14ac:dyDescent="0.2">
      <c r="T50" s="5">
        <f t="shared" si="12"/>
        <v>3</v>
      </c>
      <c r="U50" s="5">
        <f t="shared" si="18"/>
        <v>11</v>
      </c>
      <c r="V50" s="5" t="str">
        <f t="shared" si="13"/>
        <v>PC-98</v>
      </c>
      <c r="W50" s="5">
        <f t="shared" si="19"/>
        <v>3</v>
      </c>
      <c r="X50" s="5" t="str">
        <f t="shared" si="6"/>
        <v>2001:3:12::/112</v>
      </c>
      <c r="Y50" s="5" t="str">
        <f t="shared" si="7"/>
        <v>2001:3:12::4</v>
      </c>
      <c r="Z50" s="5">
        <v>112</v>
      </c>
      <c r="AA50" s="5" t="str">
        <f t="shared" si="8"/>
        <v>2001:3:12::1</v>
      </c>
    </row>
    <row r="51" spans="20:27" ht="16" x14ac:dyDescent="0.2">
      <c r="T51" s="5">
        <f t="shared" si="12"/>
        <v>3</v>
      </c>
      <c r="U51" s="5">
        <f t="shared" si="18"/>
        <v>11</v>
      </c>
      <c r="V51" s="5" t="str">
        <f t="shared" si="13"/>
        <v>PC-99</v>
      </c>
      <c r="W51" s="5">
        <f t="shared" si="19"/>
        <v>4</v>
      </c>
      <c r="X51" s="5" t="str">
        <f t="shared" si="6"/>
        <v>2001:3:12::/112</v>
      </c>
      <c r="Y51" s="5" t="str">
        <f t="shared" si="7"/>
        <v>2001:3:12::5</v>
      </c>
      <c r="Z51" s="5">
        <v>112</v>
      </c>
      <c r="AA51" s="5" t="str">
        <f t="shared" si="8"/>
        <v>2001:3:12::1</v>
      </c>
    </row>
    <row r="52" spans="20:27" ht="16" x14ac:dyDescent="0.2">
      <c r="T52" s="5">
        <f t="shared" si="12"/>
        <v>3</v>
      </c>
      <c r="U52" s="5">
        <f t="shared" si="18"/>
        <v>12</v>
      </c>
      <c r="V52" s="5" t="str">
        <f t="shared" si="13"/>
        <v>PC-100</v>
      </c>
      <c r="W52" s="5">
        <f t="shared" si="19"/>
        <v>1</v>
      </c>
      <c r="X52" s="5" t="str">
        <f t="shared" si="6"/>
        <v>2001:3:13::/112</v>
      </c>
      <c r="Y52" s="5" t="str">
        <f t="shared" si="7"/>
        <v>2001:3:13::2</v>
      </c>
      <c r="Z52" s="5">
        <v>112</v>
      </c>
      <c r="AA52" s="5" t="str">
        <f t="shared" si="8"/>
        <v>2001:3:13::1</v>
      </c>
    </row>
    <row r="53" spans="20:27" ht="16" x14ac:dyDescent="0.2">
      <c r="T53" s="5">
        <f t="shared" si="12"/>
        <v>3</v>
      </c>
      <c r="U53" s="5">
        <f t="shared" si="18"/>
        <v>12</v>
      </c>
      <c r="V53" s="5" t="str">
        <f t="shared" si="13"/>
        <v>PC-101</v>
      </c>
      <c r="W53" s="5">
        <f t="shared" si="19"/>
        <v>2</v>
      </c>
      <c r="X53" s="5" t="str">
        <f t="shared" si="6"/>
        <v>2001:3:13::/112</v>
      </c>
      <c r="Y53" s="5" t="str">
        <f t="shared" si="7"/>
        <v>2001:3:13::3</v>
      </c>
      <c r="Z53" s="5">
        <v>112</v>
      </c>
      <c r="AA53" s="5" t="str">
        <f t="shared" si="8"/>
        <v>2001:3:13::1</v>
      </c>
    </row>
    <row r="54" spans="20:27" ht="16" x14ac:dyDescent="0.2">
      <c r="T54" s="5">
        <f t="shared" si="12"/>
        <v>3</v>
      </c>
      <c r="U54" s="5">
        <f t="shared" si="18"/>
        <v>12</v>
      </c>
      <c r="V54" s="5" t="str">
        <f t="shared" si="13"/>
        <v>PC-102</v>
      </c>
      <c r="W54" s="5">
        <f t="shared" si="19"/>
        <v>3</v>
      </c>
      <c r="X54" s="5" t="str">
        <f t="shared" si="6"/>
        <v>2001:3:13::/112</v>
      </c>
      <c r="Y54" s="5" t="str">
        <f t="shared" si="7"/>
        <v>2001:3:13::4</v>
      </c>
      <c r="Z54" s="5">
        <v>112</v>
      </c>
      <c r="AA54" s="5" t="str">
        <f t="shared" si="8"/>
        <v>2001:3:13::1</v>
      </c>
    </row>
    <row r="55" spans="20:27" ht="16" x14ac:dyDescent="0.2">
      <c r="T55" s="5">
        <f t="shared" si="12"/>
        <v>3</v>
      </c>
      <c r="U55" s="5">
        <f t="shared" si="18"/>
        <v>12</v>
      </c>
      <c r="V55" s="5" t="str">
        <f t="shared" si="13"/>
        <v>PC-103</v>
      </c>
      <c r="W55" s="5">
        <f t="shared" si="19"/>
        <v>4</v>
      </c>
      <c r="X55" s="5" t="str">
        <f t="shared" si="6"/>
        <v>2001:3:13::/112</v>
      </c>
      <c r="Y55" s="5" t="str">
        <f t="shared" si="7"/>
        <v>2001:3:13::5</v>
      </c>
      <c r="Z55" s="5">
        <v>112</v>
      </c>
      <c r="AA55" s="5" t="str">
        <f t="shared" si="8"/>
        <v>2001:3:13::1</v>
      </c>
    </row>
    <row r="56" spans="20:27" ht="16" x14ac:dyDescent="0.2">
      <c r="T56" s="5">
        <f t="shared" si="12"/>
        <v>3</v>
      </c>
      <c r="U56" s="5">
        <f t="shared" si="18"/>
        <v>13</v>
      </c>
      <c r="V56" s="5" t="str">
        <f t="shared" si="13"/>
        <v>PC-104</v>
      </c>
      <c r="W56" s="5">
        <f t="shared" si="19"/>
        <v>1</v>
      </c>
      <c r="X56" s="5" t="str">
        <f t="shared" si="6"/>
        <v>2001:3:14::/112</v>
      </c>
      <c r="Y56" s="5" t="str">
        <f t="shared" si="7"/>
        <v>2001:3:14::2</v>
      </c>
      <c r="Z56" s="5">
        <v>112</v>
      </c>
      <c r="AA56" s="5" t="str">
        <f t="shared" si="8"/>
        <v>2001:3:14::1</v>
      </c>
    </row>
    <row r="57" spans="20:27" ht="16" x14ac:dyDescent="0.2">
      <c r="T57" s="5">
        <f t="shared" si="12"/>
        <v>3</v>
      </c>
      <c r="U57" s="5">
        <f t="shared" si="18"/>
        <v>13</v>
      </c>
      <c r="V57" s="5" t="str">
        <f t="shared" si="13"/>
        <v>PC-105</v>
      </c>
      <c r="W57" s="5">
        <f t="shared" si="19"/>
        <v>2</v>
      </c>
      <c r="X57" s="5" t="str">
        <f t="shared" si="6"/>
        <v>2001:3:14::/112</v>
      </c>
      <c r="Y57" s="5" t="str">
        <f t="shared" si="7"/>
        <v>2001:3:14::3</v>
      </c>
      <c r="Z57" s="5">
        <v>112</v>
      </c>
      <c r="AA57" s="5" t="str">
        <f t="shared" si="8"/>
        <v>2001:3:14::1</v>
      </c>
    </row>
    <row r="58" spans="20:27" ht="16" x14ac:dyDescent="0.2">
      <c r="T58" s="5">
        <f t="shared" si="12"/>
        <v>3</v>
      </c>
      <c r="U58" s="5">
        <f t="shared" si="18"/>
        <v>13</v>
      </c>
      <c r="V58" s="5" t="str">
        <f t="shared" si="13"/>
        <v>PC-106</v>
      </c>
      <c r="W58" s="5">
        <f t="shared" si="19"/>
        <v>3</v>
      </c>
      <c r="X58" s="5" t="str">
        <f t="shared" si="6"/>
        <v>2001:3:14::/112</v>
      </c>
      <c r="Y58" s="5" t="str">
        <f t="shared" si="7"/>
        <v>2001:3:14::4</v>
      </c>
      <c r="Z58" s="5">
        <v>112</v>
      </c>
      <c r="AA58" s="5" t="str">
        <f t="shared" si="8"/>
        <v>2001:3:14::1</v>
      </c>
    </row>
    <row r="59" spans="20:27" ht="16" x14ac:dyDescent="0.2">
      <c r="T59" s="5">
        <f t="shared" si="12"/>
        <v>3</v>
      </c>
      <c r="U59" s="5">
        <f t="shared" si="18"/>
        <v>13</v>
      </c>
      <c r="V59" s="5" t="str">
        <f t="shared" si="13"/>
        <v>PC-107</v>
      </c>
      <c r="W59" s="5">
        <f t="shared" si="19"/>
        <v>4</v>
      </c>
      <c r="X59" s="5" t="str">
        <f t="shared" si="6"/>
        <v>2001:3:14::/112</v>
      </c>
      <c r="Y59" s="5" t="str">
        <f t="shared" si="7"/>
        <v>2001:3:14::5</v>
      </c>
      <c r="Z59" s="5">
        <v>112</v>
      </c>
      <c r="AA59" s="5" t="str">
        <f t="shared" si="8"/>
        <v>2001:3:14::1</v>
      </c>
    </row>
    <row r="60" spans="20:27" ht="16" x14ac:dyDescent="0.2">
      <c r="T60" s="5">
        <f t="shared" si="12"/>
        <v>3</v>
      </c>
      <c r="U60" s="5">
        <f t="shared" si="18"/>
        <v>14</v>
      </c>
      <c r="V60" s="5" t="str">
        <f t="shared" si="13"/>
        <v>PC-108</v>
      </c>
      <c r="W60" s="5">
        <f t="shared" si="19"/>
        <v>1</v>
      </c>
      <c r="X60" s="5" t="str">
        <f t="shared" si="6"/>
        <v>2001:3:15::/112</v>
      </c>
      <c r="Y60" s="5" t="str">
        <f t="shared" si="7"/>
        <v>2001:3:15::2</v>
      </c>
      <c r="Z60" s="5">
        <v>112</v>
      </c>
      <c r="AA60" s="5" t="str">
        <f t="shared" si="8"/>
        <v>2001:3:15::1</v>
      </c>
    </row>
    <row r="61" spans="20:27" ht="16" x14ac:dyDescent="0.2">
      <c r="T61" s="5">
        <f t="shared" si="12"/>
        <v>3</v>
      </c>
      <c r="U61" s="5">
        <f t="shared" si="18"/>
        <v>14</v>
      </c>
      <c r="V61" s="5" t="str">
        <f t="shared" si="13"/>
        <v>PC-109</v>
      </c>
      <c r="W61" s="5">
        <f t="shared" si="19"/>
        <v>2</v>
      </c>
      <c r="X61" s="5" t="str">
        <f t="shared" si="6"/>
        <v>2001:3:15::/112</v>
      </c>
      <c r="Y61" s="5" t="str">
        <f t="shared" si="7"/>
        <v>2001:3:15::3</v>
      </c>
      <c r="Z61" s="5">
        <v>112</v>
      </c>
      <c r="AA61" s="5" t="str">
        <f t="shared" si="8"/>
        <v>2001:3:15::1</v>
      </c>
    </row>
    <row r="62" spans="20:27" ht="16" x14ac:dyDescent="0.2">
      <c r="T62" s="5">
        <f t="shared" si="12"/>
        <v>3</v>
      </c>
      <c r="U62" s="5">
        <f t="shared" si="18"/>
        <v>14</v>
      </c>
      <c r="V62" s="5" t="str">
        <f t="shared" si="13"/>
        <v>PC-110</v>
      </c>
      <c r="W62" s="5">
        <f t="shared" si="19"/>
        <v>3</v>
      </c>
      <c r="X62" s="5" t="str">
        <f t="shared" si="6"/>
        <v>2001:3:15::/112</v>
      </c>
      <c r="Y62" s="5" t="str">
        <f t="shared" si="7"/>
        <v>2001:3:15::4</v>
      </c>
      <c r="Z62" s="5">
        <v>112</v>
      </c>
      <c r="AA62" s="5" t="str">
        <f t="shared" si="8"/>
        <v>2001:3:15::1</v>
      </c>
    </row>
    <row r="63" spans="20:27" ht="16" x14ac:dyDescent="0.2">
      <c r="T63" s="5">
        <f t="shared" si="12"/>
        <v>3</v>
      </c>
      <c r="U63" s="5">
        <f t="shared" si="18"/>
        <v>14</v>
      </c>
      <c r="V63" s="5" t="str">
        <f t="shared" si="13"/>
        <v>PC-111</v>
      </c>
      <c r="W63" s="5">
        <f t="shared" si="19"/>
        <v>4</v>
      </c>
      <c r="X63" s="5" t="str">
        <f t="shared" si="6"/>
        <v>2001:3:15::/112</v>
      </c>
      <c r="Y63" s="5" t="str">
        <f t="shared" si="7"/>
        <v>2001:3:15::5</v>
      </c>
      <c r="Z63" s="5">
        <v>112</v>
      </c>
      <c r="AA63" s="5" t="str">
        <f t="shared" si="8"/>
        <v>2001:3:15::1</v>
      </c>
    </row>
    <row r="64" spans="20:27" ht="16" x14ac:dyDescent="0.2">
      <c r="T64" s="5">
        <f t="shared" si="12"/>
        <v>3</v>
      </c>
      <c r="U64" s="5">
        <f t="shared" si="18"/>
        <v>15</v>
      </c>
      <c r="V64" s="5" t="str">
        <f t="shared" si="13"/>
        <v>PC-112</v>
      </c>
      <c r="W64" s="5">
        <f t="shared" si="19"/>
        <v>1</v>
      </c>
      <c r="X64" s="5" t="str">
        <f t="shared" si="6"/>
        <v>2001:3:16::/112</v>
      </c>
      <c r="Y64" s="5" t="str">
        <f t="shared" si="7"/>
        <v>2001:3:16::2</v>
      </c>
      <c r="Z64" s="5">
        <v>112</v>
      </c>
      <c r="AA64" s="5" t="str">
        <f t="shared" si="8"/>
        <v>2001:3:16::1</v>
      </c>
    </row>
    <row r="65" spans="20:27" ht="16" x14ac:dyDescent="0.2">
      <c r="T65" s="5">
        <f t="shared" si="12"/>
        <v>3</v>
      </c>
      <c r="U65" s="5">
        <f t="shared" si="18"/>
        <v>15</v>
      </c>
      <c r="V65" s="5" t="str">
        <f t="shared" si="13"/>
        <v>PC-113</v>
      </c>
      <c r="W65" s="5">
        <f t="shared" si="19"/>
        <v>2</v>
      </c>
      <c r="X65" s="5" t="str">
        <f t="shared" si="6"/>
        <v>2001:3:16::/112</v>
      </c>
      <c r="Y65" s="5" t="str">
        <f t="shared" si="7"/>
        <v>2001:3:16::3</v>
      </c>
      <c r="Z65" s="5">
        <v>112</v>
      </c>
      <c r="AA65" s="5" t="str">
        <f t="shared" si="8"/>
        <v>2001:3:16::1</v>
      </c>
    </row>
    <row r="66" spans="20:27" ht="16" x14ac:dyDescent="0.2">
      <c r="T66" s="5">
        <f t="shared" si="12"/>
        <v>3</v>
      </c>
      <c r="U66" s="5">
        <f t="shared" si="18"/>
        <v>15</v>
      </c>
      <c r="V66" s="5" t="str">
        <f t="shared" si="13"/>
        <v>PC-114</v>
      </c>
      <c r="W66" s="5">
        <f t="shared" si="19"/>
        <v>3</v>
      </c>
      <c r="X66" s="5" t="str">
        <f t="shared" si="6"/>
        <v>2001:3:16::/112</v>
      </c>
      <c r="Y66" s="5" t="str">
        <f t="shared" si="7"/>
        <v>2001:3:16::4</v>
      </c>
      <c r="Z66" s="5">
        <v>112</v>
      </c>
      <c r="AA66" s="5" t="str">
        <f t="shared" si="8"/>
        <v>2001:3:16::1</v>
      </c>
    </row>
    <row r="67" spans="20:27" ht="16" x14ac:dyDescent="0.2">
      <c r="T67" s="5">
        <f t="shared" si="12"/>
        <v>3</v>
      </c>
      <c r="U67" s="5">
        <f t="shared" si="18"/>
        <v>15</v>
      </c>
      <c r="V67" s="5" t="str">
        <f t="shared" si="13"/>
        <v>PC-115</v>
      </c>
      <c r="W67" s="5">
        <f t="shared" si="19"/>
        <v>4</v>
      </c>
      <c r="X67" s="5" t="str">
        <f t="shared" si="6"/>
        <v>2001:3:16::/112</v>
      </c>
      <c r="Y67" s="5" t="str">
        <f t="shared" si="7"/>
        <v>2001:3:16::5</v>
      </c>
      <c r="Z67" s="5">
        <v>112</v>
      </c>
      <c r="AA67" s="5" t="str">
        <f t="shared" si="8"/>
        <v>2001:3:16::1</v>
      </c>
    </row>
    <row r="68" spans="20:27" ht="16" x14ac:dyDescent="0.2">
      <c r="T68" s="5">
        <f t="shared" si="12"/>
        <v>3</v>
      </c>
      <c r="U68" s="5">
        <f t="shared" si="18"/>
        <v>16</v>
      </c>
      <c r="V68" s="5" t="str">
        <f t="shared" si="13"/>
        <v>PC-116</v>
      </c>
      <c r="W68" s="5">
        <f t="shared" si="19"/>
        <v>1</v>
      </c>
      <c r="X68" s="5" t="str">
        <f t="shared" si="6"/>
        <v>2001:3:17::/112</v>
      </c>
      <c r="Y68" s="5" t="str">
        <f t="shared" si="7"/>
        <v>2001:3:17::2</v>
      </c>
      <c r="Z68" s="5">
        <v>112</v>
      </c>
      <c r="AA68" s="5" t="str">
        <f t="shared" si="8"/>
        <v>2001:3:17::1</v>
      </c>
    </row>
    <row r="69" spans="20:27" ht="16" x14ac:dyDescent="0.2">
      <c r="T69" s="5">
        <f t="shared" si="12"/>
        <v>3</v>
      </c>
      <c r="U69" s="5">
        <f t="shared" si="18"/>
        <v>16</v>
      </c>
      <c r="V69" s="5" t="str">
        <f t="shared" si="13"/>
        <v>PC-117</v>
      </c>
      <c r="W69" s="5">
        <f t="shared" si="19"/>
        <v>2</v>
      </c>
      <c r="X69" s="5" t="str">
        <f t="shared" ref="X69:X87" si="20">_xlfn.CONCAT("2001:",T69,":",U69 + 1,"::/112")</f>
        <v>2001:3:17::/112</v>
      </c>
      <c r="Y69" s="5" t="str">
        <f t="shared" ref="Y69:Y87" si="21">_xlfn.CONCAT("2001:",T69,":",U69+1,"::",W69 + 1)</f>
        <v>2001:3:17::3</v>
      </c>
      <c r="Z69" s="5">
        <v>112</v>
      </c>
      <c r="AA69" s="5" t="str">
        <f t="shared" ref="AA69:AA87" si="22">_xlfn.CONCAT("2001:",T69,":",U69+1,"::1")</f>
        <v>2001:3:17::1</v>
      </c>
    </row>
    <row r="70" spans="20:27" ht="16" x14ac:dyDescent="0.2">
      <c r="T70" s="5">
        <f t="shared" ref="T70:T87" si="23">T69</f>
        <v>3</v>
      </c>
      <c r="U70" s="5">
        <f t="shared" si="18"/>
        <v>16</v>
      </c>
      <c r="V70" s="5" t="str">
        <f t="shared" ref="V70:V87" si="24">_xlfn.CONCAT("PC-",MID(V69,FIND("-",V69)+ 1, LEN(V69))+1)</f>
        <v>PC-118</v>
      </c>
      <c r="W70" s="5">
        <f t="shared" si="19"/>
        <v>3</v>
      </c>
      <c r="X70" s="5" t="str">
        <f t="shared" si="20"/>
        <v>2001:3:17::/112</v>
      </c>
      <c r="Y70" s="5" t="str">
        <f t="shared" si="21"/>
        <v>2001:3:17::4</v>
      </c>
      <c r="Z70" s="5">
        <v>112</v>
      </c>
      <c r="AA70" s="5" t="str">
        <f t="shared" si="22"/>
        <v>2001:3:17::1</v>
      </c>
    </row>
    <row r="71" spans="20:27" ht="16" x14ac:dyDescent="0.2">
      <c r="T71" s="5">
        <f t="shared" si="23"/>
        <v>3</v>
      </c>
      <c r="U71" s="5">
        <f t="shared" si="18"/>
        <v>16</v>
      </c>
      <c r="V71" s="5" t="str">
        <f t="shared" si="24"/>
        <v>PC-119</v>
      </c>
      <c r="W71" s="5">
        <f t="shared" si="19"/>
        <v>4</v>
      </c>
      <c r="X71" s="5" t="str">
        <f t="shared" si="20"/>
        <v>2001:3:17::/112</v>
      </c>
      <c r="Y71" s="5" t="str">
        <f t="shared" si="21"/>
        <v>2001:3:17::5</v>
      </c>
      <c r="Z71" s="5">
        <v>112</v>
      </c>
      <c r="AA71" s="5" t="str">
        <f t="shared" si="22"/>
        <v>2001:3:17::1</v>
      </c>
    </row>
    <row r="72" spans="20:27" ht="16" x14ac:dyDescent="0.2">
      <c r="T72" s="5">
        <f t="shared" si="23"/>
        <v>3</v>
      </c>
      <c r="U72" s="5">
        <f t="shared" si="18"/>
        <v>17</v>
      </c>
      <c r="V72" s="5" t="str">
        <f t="shared" si="24"/>
        <v>PC-120</v>
      </c>
      <c r="W72" s="5">
        <f t="shared" si="19"/>
        <v>1</v>
      </c>
      <c r="X72" s="5" t="str">
        <f t="shared" si="20"/>
        <v>2001:3:18::/112</v>
      </c>
      <c r="Y72" s="5" t="str">
        <f t="shared" si="21"/>
        <v>2001:3:18::2</v>
      </c>
      <c r="Z72" s="5">
        <v>112</v>
      </c>
      <c r="AA72" s="5" t="str">
        <f t="shared" si="22"/>
        <v>2001:3:18::1</v>
      </c>
    </row>
    <row r="73" spans="20:27" ht="16" x14ac:dyDescent="0.2">
      <c r="T73" s="5">
        <f t="shared" si="23"/>
        <v>3</v>
      </c>
      <c r="U73" s="5">
        <f t="shared" ref="U73:U87" si="25">U69+1</f>
        <v>17</v>
      </c>
      <c r="V73" s="5" t="str">
        <f t="shared" si="24"/>
        <v>PC-121</v>
      </c>
      <c r="W73" s="5">
        <f t="shared" ref="W73:W87" si="26">W69</f>
        <v>2</v>
      </c>
      <c r="X73" s="5" t="str">
        <f t="shared" si="20"/>
        <v>2001:3:18::/112</v>
      </c>
      <c r="Y73" s="5" t="str">
        <f t="shared" si="21"/>
        <v>2001:3:18::3</v>
      </c>
      <c r="Z73" s="5">
        <v>112</v>
      </c>
      <c r="AA73" s="5" t="str">
        <f t="shared" si="22"/>
        <v>2001:3:18::1</v>
      </c>
    </row>
    <row r="74" spans="20:27" ht="16" x14ac:dyDescent="0.2">
      <c r="T74" s="5">
        <f t="shared" si="23"/>
        <v>3</v>
      </c>
      <c r="U74" s="5">
        <f t="shared" si="25"/>
        <v>17</v>
      </c>
      <c r="V74" s="5" t="str">
        <f t="shared" si="24"/>
        <v>PC-122</v>
      </c>
      <c r="W74" s="5">
        <f t="shared" si="26"/>
        <v>3</v>
      </c>
      <c r="X74" s="5" t="str">
        <f t="shared" si="20"/>
        <v>2001:3:18::/112</v>
      </c>
      <c r="Y74" s="5" t="str">
        <f t="shared" si="21"/>
        <v>2001:3:18::4</v>
      </c>
      <c r="Z74" s="5">
        <v>112</v>
      </c>
      <c r="AA74" s="5" t="str">
        <f t="shared" si="22"/>
        <v>2001:3:18::1</v>
      </c>
    </row>
    <row r="75" spans="20:27" ht="16" x14ac:dyDescent="0.2">
      <c r="T75" s="5">
        <f t="shared" si="23"/>
        <v>3</v>
      </c>
      <c r="U75" s="5">
        <f t="shared" si="25"/>
        <v>17</v>
      </c>
      <c r="V75" s="5" t="str">
        <f t="shared" si="24"/>
        <v>PC-123</v>
      </c>
      <c r="W75" s="5">
        <f t="shared" si="26"/>
        <v>4</v>
      </c>
      <c r="X75" s="5" t="str">
        <f t="shared" si="20"/>
        <v>2001:3:18::/112</v>
      </c>
      <c r="Y75" s="5" t="str">
        <f t="shared" si="21"/>
        <v>2001:3:18::5</v>
      </c>
      <c r="Z75" s="5">
        <v>112</v>
      </c>
      <c r="AA75" s="5" t="str">
        <f t="shared" si="22"/>
        <v>2001:3:18::1</v>
      </c>
    </row>
    <row r="76" spans="20:27" ht="16" x14ac:dyDescent="0.2">
      <c r="T76" s="5">
        <f t="shared" si="23"/>
        <v>3</v>
      </c>
      <c r="U76" s="5">
        <f t="shared" si="25"/>
        <v>18</v>
      </c>
      <c r="V76" s="5" t="str">
        <f t="shared" si="24"/>
        <v>PC-124</v>
      </c>
      <c r="W76" s="5">
        <f t="shared" si="26"/>
        <v>1</v>
      </c>
      <c r="X76" s="5" t="str">
        <f t="shared" si="20"/>
        <v>2001:3:19::/112</v>
      </c>
      <c r="Y76" s="5" t="str">
        <f t="shared" si="21"/>
        <v>2001:3:19::2</v>
      </c>
      <c r="Z76" s="5">
        <v>112</v>
      </c>
      <c r="AA76" s="5" t="str">
        <f t="shared" si="22"/>
        <v>2001:3:19::1</v>
      </c>
    </row>
    <row r="77" spans="20:27" ht="16" x14ac:dyDescent="0.2">
      <c r="T77" s="5">
        <f t="shared" si="23"/>
        <v>3</v>
      </c>
      <c r="U77" s="5">
        <f t="shared" si="25"/>
        <v>18</v>
      </c>
      <c r="V77" s="5" t="str">
        <f t="shared" si="24"/>
        <v>PC-125</v>
      </c>
      <c r="W77" s="5">
        <f t="shared" si="26"/>
        <v>2</v>
      </c>
      <c r="X77" s="5" t="str">
        <f t="shared" si="20"/>
        <v>2001:3:19::/112</v>
      </c>
      <c r="Y77" s="5" t="str">
        <f t="shared" si="21"/>
        <v>2001:3:19::3</v>
      </c>
      <c r="Z77" s="5">
        <v>112</v>
      </c>
      <c r="AA77" s="5" t="str">
        <f t="shared" si="22"/>
        <v>2001:3:19::1</v>
      </c>
    </row>
    <row r="78" spans="20:27" ht="16" x14ac:dyDescent="0.2">
      <c r="T78" s="5">
        <f t="shared" si="23"/>
        <v>3</v>
      </c>
      <c r="U78" s="5">
        <f t="shared" si="25"/>
        <v>18</v>
      </c>
      <c r="V78" s="5" t="str">
        <f t="shared" si="24"/>
        <v>PC-126</v>
      </c>
      <c r="W78" s="5">
        <f t="shared" si="26"/>
        <v>3</v>
      </c>
      <c r="X78" s="5" t="str">
        <f t="shared" si="20"/>
        <v>2001:3:19::/112</v>
      </c>
      <c r="Y78" s="5" t="str">
        <f t="shared" si="21"/>
        <v>2001:3:19::4</v>
      </c>
      <c r="Z78" s="5">
        <v>112</v>
      </c>
      <c r="AA78" s="5" t="str">
        <f t="shared" si="22"/>
        <v>2001:3:19::1</v>
      </c>
    </row>
    <row r="79" spans="20:27" ht="16" x14ac:dyDescent="0.2">
      <c r="T79" s="5">
        <f t="shared" si="23"/>
        <v>3</v>
      </c>
      <c r="U79" s="5">
        <f t="shared" si="25"/>
        <v>18</v>
      </c>
      <c r="V79" s="5" t="str">
        <f t="shared" si="24"/>
        <v>PC-127</v>
      </c>
      <c r="W79" s="5">
        <f t="shared" si="26"/>
        <v>4</v>
      </c>
      <c r="X79" s="5" t="str">
        <f t="shared" si="20"/>
        <v>2001:3:19::/112</v>
      </c>
      <c r="Y79" s="5" t="str">
        <f t="shared" si="21"/>
        <v>2001:3:19::5</v>
      </c>
      <c r="Z79" s="5">
        <v>112</v>
      </c>
      <c r="AA79" s="5" t="str">
        <f t="shared" si="22"/>
        <v>2001:3:19::1</v>
      </c>
    </row>
    <row r="80" spans="20:27" ht="16" x14ac:dyDescent="0.2">
      <c r="T80" s="5">
        <f t="shared" si="23"/>
        <v>3</v>
      </c>
      <c r="U80" s="5">
        <f t="shared" si="25"/>
        <v>19</v>
      </c>
      <c r="V80" s="5" t="str">
        <f t="shared" si="24"/>
        <v>PC-128</v>
      </c>
      <c r="W80" s="5">
        <f t="shared" si="26"/>
        <v>1</v>
      </c>
      <c r="X80" s="5" t="str">
        <f t="shared" si="20"/>
        <v>2001:3:20::/112</v>
      </c>
      <c r="Y80" s="5" t="str">
        <f t="shared" si="21"/>
        <v>2001:3:20::2</v>
      </c>
      <c r="Z80" s="5">
        <v>112</v>
      </c>
      <c r="AA80" s="5" t="str">
        <f t="shared" si="22"/>
        <v>2001:3:20::1</v>
      </c>
    </row>
    <row r="81" spans="20:27" ht="16" x14ac:dyDescent="0.2">
      <c r="T81" s="5">
        <f t="shared" si="23"/>
        <v>3</v>
      </c>
      <c r="U81" s="5">
        <f t="shared" si="25"/>
        <v>19</v>
      </c>
      <c r="V81" s="5" t="str">
        <f t="shared" si="24"/>
        <v>PC-129</v>
      </c>
      <c r="W81" s="5">
        <f t="shared" si="26"/>
        <v>2</v>
      </c>
      <c r="X81" s="5" t="str">
        <f t="shared" si="20"/>
        <v>2001:3:20::/112</v>
      </c>
      <c r="Y81" s="5" t="str">
        <f t="shared" si="21"/>
        <v>2001:3:20::3</v>
      </c>
      <c r="Z81" s="5">
        <v>112</v>
      </c>
      <c r="AA81" s="5" t="str">
        <f t="shared" si="22"/>
        <v>2001:3:20::1</v>
      </c>
    </row>
    <row r="82" spans="20:27" ht="16" x14ac:dyDescent="0.2">
      <c r="T82" s="5">
        <f t="shared" si="23"/>
        <v>3</v>
      </c>
      <c r="U82" s="5">
        <f t="shared" si="25"/>
        <v>19</v>
      </c>
      <c r="V82" s="5" t="str">
        <f t="shared" si="24"/>
        <v>PC-130</v>
      </c>
      <c r="W82" s="5">
        <f t="shared" si="26"/>
        <v>3</v>
      </c>
      <c r="X82" s="5" t="str">
        <f t="shared" si="20"/>
        <v>2001:3:20::/112</v>
      </c>
      <c r="Y82" s="5" t="str">
        <f t="shared" si="21"/>
        <v>2001:3:20::4</v>
      </c>
      <c r="Z82" s="5">
        <v>112</v>
      </c>
      <c r="AA82" s="5" t="str">
        <f t="shared" si="22"/>
        <v>2001:3:20::1</v>
      </c>
    </row>
    <row r="83" spans="20:27" ht="16" x14ac:dyDescent="0.2">
      <c r="T83" s="5">
        <f t="shared" si="23"/>
        <v>3</v>
      </c>
      <c r="U83" s="5">
        <f t="shared" si="25"/>
        <v>19</v>
      </c>
      <c r="V83" s="5" t="str">
        <f t="shared" si="24"/>
        <v>PC-131</v>
      </c>
      <c r="W83" s="5">
        <f t="shared" si="26"/>
        <v>4</v>
      </c>
      <c r="X83" s="5" t="str">
        <f t="shared" si="20"/>
        <v>2001:3:20::/112</v>
      </c>
      <c r="Y83" s="5" t="str">
        <f t="shared" si="21"/>
        <v>2001:3:20::5</v>
      </c>
      <c r="Z83" s="5">
        <v>112</v>
      </c>
      <c r="AA83" s="5" t="str">
        <f t="shared" si="22"/>
        <v>2001:3:20::1</v>
      </c>
    </row>
    <row r="84" spans="20:27" ht="16" x14ac:dyDescent="0.2">
      <c r="T84" s="5">
        <f t="shared" si="23"/>
        <v>3</v>
      </c>
      <c r="U84" s="5">
        <f t="shared" si="25"/>
        <v>20</v>
      </c>
      <c r="V84" s="5" t="str">
        <f t="shared" si="24"/>
        <v>PC-132</v>
      </c>
      <c r="W84" s="5">
        <f t="shared" si="26"/>
        <v>1</v>
      </c>
      <c r="X84" s="5" t="str">
        <f t="shared" si="20"/>
        <v>2001:3:21::/112</v>
      </c>
      <c r="Y84" s="5" t="str">
        <f t="shared" si="21"/>
        <v>2001:3:21::2</v>
      </c>
      <c r="Z84" s="5">
        <v>112</v>
      </c>
      <c r="AA84" s="5" t="str">
        <f t="shared" si="22"/>
        <v>2001:3:21::1</v>
      </c>
    </row>
    <row r="85" spans="20:27" ht="16" x14ac:dyDescent="0.2">
      <c r="T85" s="5">
        <f t="shared" si="23"/>
        <v>3</v>
      </c>
      <c r="U85" s="5">
        <f t="shared" si="25"/>
        <v>20</v>
      </c>
      <c r="V85" s="5" t="str">
        <f t="shared" si="24"/>
        <v>PC-133</v>
      </c>
      <c r="W85" s="5">
        <f t="shared" si="26"/>
        <v>2</v>
      </c>
      <c r="X85" s="5" t="str">
        <f t="shared" si="20"/>
        <v>2001:3:21::/112</v>
      </c>
      <c r="Y85" s="5" t="str">
        <f t="shared" si="21"/>
        <v>2001:3:21::3</v>
      </c>
      <c r="Z85" s="5">
        <v>112</v>
      </c>
      <c r="AA85" s="5" t="str">
        <f t="shared" si="22"/>
        <v>2001:3:21::1</v>
      </c>
    </row>
    <row r="86" spans="20:27" ht="16" x14ac:dyDescent="0.2">
      <c r="T86" s="5">
        <f t="shared" si="23"/>
        <v>3</v>
      </c>
      <c r="U86" s="5">
        <f t="shared" si="25"/>
        <v>20</v>
      </c>
      <c r="V86" s="5" t="str">
        <f t="shared" si="24"/>
        <v>PC-134</v>
      </c>
      <c r="W86" s="5">
        <f t="shared" si="26"/>
        <v>3</v>
      </c>
      <c r="X86" s="5" t="str">
        <f t="shared" si="20"/>
        <v>2001:3:21::/112</v>
      </c>
      <c r="Y86" s="5" t="str">
        <f t="shared" si="21"/>
        <v>2001:3:21::4</v>
      </c>
      <c r="Z86" s="5">
        <v>112</v>
      </c>
      <c r="AA86" s="5" t="str">
        <f t="shared" si="22"/>
        <v>2001:3:21::1</v>
      </c>
    </row>
    <row r="87" spans="20:27" ht="16" x14ac:dyDescent="0.2">
      <c r="T87" s="5">
        <f t="shared" si="23"/>
        <v>3</v>
      </c>
      <c r="U87" s="5">
        <f t="shared" si="25"/>
        <v>20</v>
      </c>
      <c r="V87" s="5" t="str">
        <f t="shared" si="24"/>
        <v>PC-135</v>
      </c>
      <c r="W87" s="5">
        <f t="shared" si="26"/>
        <v>4</v>
      </c>
      <c r="X87" s="5" t="str">
        <f t="shared" si="20"/>
        <v>2001:3:21::/112</v>
      </c>
      <c r="Y87" s="5" t="str">
        <f t="shared" si="21"/>
        <v>2001:3:21::5</v>
      </c>
      <c r="Z87" s="5">
        <v>112</v>
      </c>
      <c r="AA87" s="5" t="str">
        <f t="shared" si="22"/>
        <v>2001:3:21::1</v>
      </c>
    </row>
    <row r="88" spans="20:27" ht="16" x14ac:dyDescent="0.2">
      <c r="U88" s="5"/>
    </row>
    <row r="89" spans="20:27" ht="16" x14ac:dyDescent="0.2">
      <c r="U89" s="5"/>
    </row>
    <row r="90" spans="20:27" ht="16" x14ac:dyDescent="0.2">
      <c r="U90" s="5"/>
    </row>
    <row r="91" spans="20:27" ht="16" x14ac:dyDescent="0.2">
      <c r="U91" s="5"/>
    </row>
    <row r="92" spans="20:27" ht="16" x14ac:dyDescent="0.2">
      <c r="U92" s="5"/>
    </row>
    <row r="93" spans="20:27" ht="16" x14ac:dyDescent="0.2">
      <c r="U93" s="5"/>
    </row>
    <row r="94" spans="20:27" ht="16" x14ac:dyDescent="0.2">
      <c r="U94" s="5"/>
    </row>
    <row r="95" spans="20:27" ht="16" x14ac:dyDescent="0.2">
      <c r="U95" s="5"/>
    </row>
    <row r="96" spans="20:27" ht="16" x14ac:dyDescent="0.2">
      <c r="U96" s="5"/>
    </row>
    <row r="97" spans="21:21" ht="16" x14ac:dyDescent="0.2">
      <c r="U97" s="5"/>
    </row>
    <row r="98" spans="21:21" ht="16" x14ac:dyDescent="0.2">
      <c r="U98" s="5"/>
    </row>
    <row r="99" spans="21:21" ht="16" x14ac:dyDescent="0.2">
      <c r="U99" s="5"/>
    </row>
    <row r="100" spans="21:21" ht="16" x14ac:dyDescent="0.2">
      <c r="U100" s="5"/>
    </row>
    <row r="101" spans="21:21" ht="16" x14ac:dyDescent="0.2">
      <c r="U101" s="5"/>
    </row>
    <row r="102" spans="21:21" ht="16" x14ac:dyDescent="0.2">
      <c r="U102" s="5"/>
    </row>
    <row r="103" spans="21:21" ht="16" x14ac:dyDescent="0.2">
      <c r="U103" s="5"/>
    </row>
    <row r="104" spans="21:21" ht="16" x14ac:dyDescent="0.2">
      <c r="U104" s="5"/>
    </row>
    <row r="105" spans="21:21" ht="16" x14ac:dyDescent="0.2">
      <c r="U105" s="5"/>
    </row>
    <row r="106" spans="21:21" ht="16" x14ac:dyDescent="0.2">
      <c r="U106" s="5"/>
    </row>
    <row r="107" spans="21:21" ht="16" x14ac:dyDescent="0.2">
      <c r="U107" s="5"/>
    </row>
    <row r="108" spans="21:21" ht="16" x14ac:dyDescent="0.2">
      <c r="U108" s="5"/>
    </row>
    <row r="109" spans="21:21" ht="16" x14ac:dyDescent="0.2">
      <c r="U109" s="5"/>
    </row>
    <row r="110" spans="21:21" ht="16" x14ac:dyDescent="0.2">
      <c r="U110" s="5"/>
    </row>
    <row r="111" spans="21:21" ht="16" x14ac:dyDescent="0.2">
      <c r="U111" s="5"/>
    </row>
    <row r="112" spans="21:21" ht="16" x14ac:dyDescent="0.2">
      <c r="U112" s="5"/>
    </row>
    <row r="113" spans="21:21" ht="16" x14ac:dyDescent="0.2">
      <c r="U113" s="5"/>
    </row>
    <row r="114" spans="21:21" ht="16" x14ac:dyDescent="0.2">
      <c r="U114" s="5"/>
    </row>
    <row r="115" spans="21:21" ht="16" x14ac:dyDescent="0.2">
      <c r="U115" s="5"/>
    </row>
    <row r="116" spans="21:21" ht="16" x14ac:dyDescent="0.2">
      <c r="U116" s="5"/>
    </row>
    <row r="117" spans="21:21" ht="16" x14ac:dyDescent="0.2">
      <c r="U117" s="5"/>
    </row>
    <row r="118" spans="21:21" ht="16" x14ac:dyDescent="0.2">
      <c r="U118" s="5"/>
    </row>
    <row r="119" spans="21:21" ht="16" x14ac:dyDescent="0.2">
      <c r="U119" s="5"/>
    </row>
    <row r="120" spans="21:21" ht="16" x14ac:dyDescent="0.2">
      <c r="U120" s="5"/>
    </row>
    <row r="121" spans="21:21" ht="16" x14ac:dyDescent="0.2">
      <c r="U121" s="5"/>
    </row>
    <row r="122" spans="21:21" ht="16" x14ac:dyDescent="0.2">
      <c r="U122" s="5"/>
    </row>
    <row r="123" spans="21:21" ht="16" x14ac:dyDescent="0.2">
      <c r="U123" s="5"/>
    </row>
    <row r="124" spans="21:21" ht="16" x14ac:dyDescent="0.2">
      <c r="U124" s="5"/>
    </row>
    <row r="125" spans="21:21" ht="16" x14ac:dyDescent="0.2">
      <c r="U125" s="5"/>
    </row>
    <row r="126" spans="21:21" ht="16" x14ac:dyDescent="0.2">
      <c r="U126" s="5"/>
    </row>
    <row r="127" spans="21:21" ht="16" x14ac:dyDescent="0.2">
      <c r="U127" s="5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B32B-8108-7E4E-A7C9-5ADE5A4FC831}">
  <dimension ref="A1:I34"/>
  <sheetViews>
    <sheetView zoomScale="140" zoomScaleNormal="140" workbookViewId="0">
      <selection activeCell="H6" sqref="H6"/>
    </sheetView>
  </sheetViews>
  <sheetFormatPr baseColWidth="10" defaultRowHeight="19" x14ac:dyDescent="0.2"/>
  <cols>
    <col min="1" max="1" width="3.33203125" style="6" customWidth="1"/>
    <col min="2" max="2" width="2.33203125" style="7" bestFit="1" customWidth="1"/>
    <col min="3" max="3" width="3.5" style="7" bestFit="1" customWidth="1"/>
    <col min="4" max="4" width="9.6640625" style="8" bestFit="1" customWidth="1"/>
    <col min="5" max="7" width="2.1640625" style="8" bestFit="1" customWidth="1"/>
    <col min="8" max="8" width="7.6640625" style="8" bestFit="1" customWidth="1"/>
    <col min="9" max="9" width="34.33203125" bestFit="1" customWidth="1"/>
  </cols>
  <sheetData>
    <row r="1" spans="1:9" x14ac:dyDescent="0.2">
      <c r="A1" s="6" t="s">
        <v>36</v>
      </c>
      <c r="B1" s="11">
        <v>1</v>
      </c>
      <c r="C1" s="7">
        <v>5</v>
      </c>
      <c r="D1" s="8" t="str">
        <f>_xlfn.CONCAT("172.",B1,".",C1,".0")</f>
        <v>172.1.5.0</v>
      </c>
      <c r="E1" s="8">
        <f ca="1">INDIRECT(_xlfn.CONCAT("B",MATCH("*",$A$1:$A$34)))</f>
        <v>1</v>
      </c>
      <c r="F1" s="8">
        <f ca="1">IF(MATCH("*",$A$1:$A$34) &gt; ROW(), INDIRECT(_xlfn.CONCAT("C",MATCH("*",$A$1:$A$34))), INDIRECT(_xlfn.CONCAT("C",MATCH("*",$A$1:$A$34))) - 1)</f>
        <v>4</v>
      </c>
      <c r="G1" s="8">
        <f>IF(MATCH("*",$A$1:$A$34) &gt; ROW(), 2, 1)</f>
        <v>1</v>
      </c>
      <c r="H1" s="8" t="str">
        <f ca="1">_xlfn.CONCAT("10.",E1,".",F1,".",G1)</f>
        <v>10.1.4.1</v>
      </c>
      <c r="I1" t="str">
        <f>IF(MATCH("*",$A$1:$A$34) = ROW(),"",_xlfn.CONCAT("ip route", " ", D1, " ", "255.255.255.0"," ", H1))</f>
        <v/>
      </c>
    </row>
    <row r="2" spans="1:9" x14ac:dyDescent="0.2">
      <c r="B2" s="11">
        <v>1</v>
      </c>
      <c r="C2" s="7">
        <f>C1-1</f>
        <v>4</v>
      </c>
      <c r="D2" s="8" t="str">
        <f t="shared" ref="D2:D34" si="0">_xlfn.CONCAT("172.",B2,".",C2,".0")</f>
        <v>172.1.4.0</v>
      </c>
      <c r="E2" s="8">
        <f ca="1">INDIRECT(_xlfn.CONCAT("B",MATCH("*",$A$1:$A$34)))</f>
        <v>1</v>
      </c>
      <c r="F2" s="8">
        <f ca="1">IF(MATCH("*",$A$1:$A$34) &gt; ROW(), INDIRECT(_xlfn.CONCAT("C",MATCH("*",$A$1:$A$34))), INDIRECT(_xlfn.CONCAT("C",MATCH("*",$A$1:$A$34))) - 1)</f>
        <v>4</v>
      </c>
      <c r="G2" s="8">
        <f>IF(MATCH("*",$A$1:$A$34) &gt; ROW(), 2, 1)</f>
        <v>1</v>
      </c>
      <c r="H2" s="8" t="str">
        <f t="shared" ref="H2:H34" ca="1" si="1">_xlfn.CONCAT("10.",E2,".",F2,".",G2)</f>
        <v>10.1.4.1</v>
      </c>
      <c r="I2" t="str">
        <f ca="1">IF(MATCH("*",$A$1:$A$34) = ROW(),"",_xlfn.CONCAT("ip route", " ", D2, " ", "255.255.255.0"," ", H2))</f>
        <v>ip route 172.1.4.0 255.255.255.0 10.1.4.1</v>
      </c>
    </row>
    <row r="3" spans="1:9" x14ac:dyDescent="0.2">
      <c r="B3" s="11">
        <v>1</v>
      </c>
      <c r="C3" s="7">
        <f t="shared" ref="C3:C6" si="2">C2-1</f>
        <v>3</v>
      </c>
      <c r="D3" s="8" t="str">
        <f t="shared" si="0"/>
        <v>172.1.3.0</v>
      </c>
      <c r="E3" s="8">
        <f ca="1">INDIRECT(_xlfn.CONCAT("B",MATCH("*",$A$1:$A$34)))</f>
        <v>1</v>
      </c>
      <c r="F3" s="8">
        <f ca="1">IF(MATCH("*",$A$1:$A$34) &gt; ROW(), INDIRECT(_xlfn.CONCAT("C",MATCH("*",$A$1:$A$34))), INDIRECT(_xlfn.CONCAT("C",MATCH("*",$A$1:$A$34))) - 1)</f>
        <v>4</v>
      </c>
      <c r="G3" s="8">
        <f>IF(MATCH("*",$A$1:$A$34) &gt; ROW(), 2, 1)</f>
        <v>1</v>
      </c>
      <c r="H3" s="8" t="str">
        <f t="shared" ca="1" si="1"/>
        <v>10.1.4.1</v>
      </c>
      <c r="I3" t="str">
        <f ca="1">IF(MATCH("*",$A$1:$A$34) = ROW(),"",_xlfn.CONCAT("ip route", " ", D3, " ", "255.255.255.0"," ", H3))</f>
        <v>ip route 172.1.3.0 255.255.255.0 10.1.4.1</v>
      </c>
    </row>
    <row r="4" spans="1:9" x14ac:dyDescent="0.2">
      <c r="B4" s="11">
        <v>1</v>
      </c>
      <c r="C4" s="7">
        <f t="shared" si="2"/>
        <v>2</v>
      </c>
      <c r="D4" s="8" t="str">
        <f t="shared" si="0"/>
        <v>172.1.2.0</v>
      </c>
      <c r="E4" s="8">
        <f ca="1">INDIRECT(_xlfn.CONCAT("B",MATCH("*",$A$1:$A$34)))</f>
        <v>1</v>
      </c>
      <c r="F4" s="8">
        <f ca="1">IF(MATCH("*",$A$1:$A$34) &gt; ROW(), INDIRECT(_xlfn.CONCAT("C",MATCH("*",$A$1:$A$34))), INDIRECT(_xlfn.CONCAT("C",MATCH("*",$A$1:$A$34))) - 1)</f>
        <v>4</v>
      </c>
      <c r="G4" s="8">
        <f>IF(MATCH("*",$A$1:$A$34) &gt; ROW(), 2, 1)</f>
        <v>1</v>
      </c>
      <c r="H4" s="8" t="str">
        <f t="shared" ca="1" si="1"/>
        <v>10.1.4.1</v>
      </c>
      <c r="I4" t="str">
        <f ca="1">IF(MATCH("*",$A$1:$A$34) = ROW(),"",_xlfn.CONCAT("ip route", " ", D4, " ", "255.255.255.0"," ", H4))</f>
        <v>ip route 172.1.2.0 255.255.255.0 10.1.4.1</v>
      </c>
    </row>
    <row r="5" spans="1:9" x14ac:dyDescent="0.2">
      <c r="B5" s="11">
        <v>1</v>
      </c>
      <c r="C5" s="7">
        <f t="shared" si="2"/>
        <v>1</v>
      </c>
      <c r="D5" s="8" t="str">
        <f t="shared" si="0"/>
        <v>172.1.1.0</v>
      </c>
      <c r="E5" s="8">
        <f ca="1">INDIRECT(_xlfn.CONCAT("B",MATCH("*",$A$1:$A$34)))</f>
        <v>1</v>
      </c>
      <c r="F5" s="8">
        <f ca="1">IF(MATCH("*",$A$1:$A$34) &gt; ROW(), INDIRECT(_xlfn.CONCAT("C",MATCH("*",$A$1:$A$34))), INDIRECT(_xlfn.CONCAT("C",MATCH("*",$A$1:$A$34))) - 1)</f>
        <v>4</v>
      </c>
      <c r="G5" s="8">
        <f>IF(MATCH("*",$A$1:$A$34) &gt; ROW(), 2, 1)</f>
        <v>1</v>
      </c>
      <c r="H5" s="8" t="str">
        <f t="shared" ca="1" si="1"/>
        <v>10.1.4.1</v>
      </c>
      <c r="I5" t="str">
        <f ca="1">IF(MATCH("*",$A$1:$A$34) = ROW(),"",_xlfn.CONCAT("ip route", " ", D5, " ", "255.255.255.0"," ", H5))</f>
        <v>ip route 172.1.1.0 255.255.255.0 10.1.4.1</v>
      </c>
    </row>
    <row r="6" spans="1:9" x14ac:dyDescent="0.2">
      <c r="B6" s="11">
        <v>1</v>
      </c>
      <c r="C6" s="7">
        <f t="shared" si="2"/>
        <v>0</v>
      </c>
      <c r="D6" s="8" t="str">
        <f t="shared" si="0"/>
        <v>172.1.0.0</v>
      </c>
      <c r="E6" s="8">
        <f ca="1">INDIRECT(_xlfn.CONCAT("B",MATCH("*",$A$1:$A$34)))</f>
        <v>1</v>
      </c>
      <c r="F6" s="8">
        <f ca="1">IF(MATCH("*",$A$1:$A$34) &gt; ROW(), INDIRECT(_xlfn.CONCAT("C",MATCH("*",$A$1:$A$34))), INDIRECT(_xlfn.CONCAT("C",MATCH("*",$A$1:$A$34))) - 1)</f>
        <v>4</v>
      </c>
      <c r="G6" s="8">
        <f>IF(MATCH("*",$A$1:$A$34) &gt; ROW(), 2, 1)</f>
        <v>1</v>
      </c>
      <c r="H6" s="8" t="str">
        <f t="shared" ca="1" si="1"/>
        <v>10.1.4.1</v>
      </c>
      <c r="I6" t="str">
        <f ca="1">IF(MATCH("*",$A$1:$A$34) = ROW(),"",_xlfn.CONCAT("ip route", " ", D6, " ", "255.255.255.0"," ", H6))</f>
        <v>ip route 172.1.0.0 255.255.255.0 10.1.4.1</v>
      </c>
    </row>
    <row r="7" spans="1:9" x14ac:dyDescent="0.2">
      <c r="B7" s="12">
        <v>2</v>
      </c>
      <c r="C7" s="7">
        <v>6</v>
      </c>
      <c r="D7" s="8" t="str">
        <f t="shared" si="0"/>
        <v>172.2.6.0</v>
      </c>
      <c r="E7" s="8">
        <f ca="1">INDIRECT(_xlfn.CONCAT("B",MATCH("*",$A$1:$A$34)))</f>
        <v>1</v>
      </c>
      <c r="F7" s="8">
        <f ca="1">IF(MATCH("*",$A$1:$A$34) &gt; ROW(), INDIRECT(_xlfn.CONCAT("C",MATCH("*",$A$1:$A$34))), INDIRECT(_xlfn.CONCAT("C",MATCH("*",$A$1:$A$34))) - 1)</f>
        <v>4</v>
      </c>
      <c r="G7" s="8">
        <f>IF(MATCH("*",$A$1:$A$34) &gt; ROW(), 2, 1)</f>
        <v>1</v>
      </c>
      <c r="H7" s="8" t="str">
        <f t="shared" ca="1" si="1"/>
        <v>10.1.4.1</v>
      </c>
      <c r="I7" t="str">
        <f ca="1">IF(MATCH("*",$A$1:$A$34) = ROW(),"",_xlfn.CONCAT("ip route", " ", D7, " ", "255.255.255.0"," ", H7))</f>
        <v>ip route 172.2.6.0 255.255.255.0 10.1.4.1</v>
      </c>
    </row>
    <row r="8" spans="1:9" x14ac:dyDescent="0.2">
      <c r="B8" s="12">
        <v>2</v>
      </c>
      <c r="C8" s="7">
        <f>C7-1</f>
        <v>5</v>
      </c>
      <c r="D8" s="8" t="str">
        <f t="shared" si="0"/>
        <v>172.2.5.0</v>
      </c>
      <c r="E8" s="8">
        <f ca="1">INDIRECT(_xlfn.CONCAT("B",MATCH("*",$A$1:$A$34)))</f>
        <v>1</v>
      </c>
      <c r="F8" s="8">
        <f ca="1">IF(MATCH("*",$A$1:$A$34) &gt; ROW(), INDIRECT(_xlfn.CONCAT("C",MATCH("*",$A$1:$A$34))), INDIRECT(_xlfn.CONCAT("C",MATCH("*",$A$1:$A$34))) - 1)</f>
        <v>4</v>
      </c>
      <c r="G8" s="8">
        <f>IF(MATCH("*",$A$1:$A$34) &gt; ROW(), 2, 1)</f>
        <v>1</v>
      </c>
      <c r="H8" s="8" t="str">
        <f t="shared" ca="1" si="1"/>
        <v>10.1.4.1</v>
      </c>
      <c r="I8" t="str">
        <f ca="1">IF(MATCH("*",$A$1:$A$34) = ROW(),"",_xlfn.CONCAT("ip route", " ", D8, " ", "255.255.255.0"," ", H8))</f>
        <v>ip route 172.2.5.0 255.255.255.0 10.1.4.1</v>
      </c>
    </row>
    <row r="9" spans="1:9" x14ac:dyDescent="0.2">
      <c r="B9" s="12">
        <v>2</v>
      </c>
      <c r="C9" s="7">
        <f t="shared" ref="C9:C13" si="3">C8-1</f>
        <v>4</v>
      </c>
      <c r="D9" s="8" t="str">
        <f t="shared" si="0"/>
        <v>172.2.4.0</v>
      </c>
      <c r="E9" s="8">
        <f ca="1">INDIRECT(_xlfn.CONCAT("B",MATCH("*",$A$1:$A$34)))</f>
        <v>1</v>
      </c>
      <c r="F9" s="8">
        <f ca="1">IF(MATCH("*",$A$1:$A$34) &gt; ROW(), INDIRECT(_xlfn.CONCAT("C",MATCH("*",$A$1:$A$34))), INDIRECT(_xlfn.CONCAT("C",MATCH("*",$A$1:$A$34))) - 1)</f>
        <v>4</v>
      </c>
      <c r="G9" s="8">
        <f>IF(MATCH("*",$A$1:$A$34) &gt; ROW(), 2, 1)</f>
        <v>1</v>
      </c>
      <c r="H9" s="8" t="str">
        <f t="shared" ca="1" si="1"/>
        <v>10.1.4.1</v>
      </c>
      <c r="I9" t="str">
        <f ca="1">IF(MATCH("*",$A$1:$A$34) = ROW(),"",_xlfn.CONCAT("ip route", " ", D9, " ", "255.255.255.0"," ", H9))</f>
        <v>ip route 172.2.4.0 255.255.255.0 10.1.4.1</v>
      </c>
    </row>
    <row r="10" spans="1:9" x14ac:dyDescent="0.2">
      <c r="B10" s="12">
        <v>2</v>
      </c>
      <c r="C10" s="7">
        <f t="shared" si="3"/>
        <v>3</v>
      </c>
      <c r="D10" s="8" t="str">
        <f t="shared" si="0"/>
        <v>172.2.3.0</v>
      </c>
      <c r="E10" s="8">
        <f ca="1">INDIRECT(_xlfn.CONCAT("B",MATCH("*",$A$1:$A$34)))</f>
        <v>1</v>
      </c>
      <c r="F10" s="8">
        <f ca="1">IF(MATCH("*",$A$1:$A$34) &gt; ROW(), INDIRECT(_xlfn.CONCAT("C",MATCH("*",$A$1:$A$34))), INDIRECT(_xlfn.CONCAT("C",MATCH("*",$A$1:$A$34))) - 1)</f>
        <v>4</v>
      </c>
      <c r="G10" s="8">
        <f>IF(MATCH("*",$A$1:$A$34) &gt; ROW(), 2, 1)</f>
        <v>1</v>
      </c>
      <c r="H10" s="8" t="str">
        <f t="shared" ca="1" si="1"/>
        <v>10.1.4.1</v>
      </c>
      <c r="I10" t="str">
        <f ca="1">IF(MATCH("*",$A$1:$A$34) = ROW(),"",_xlfn.CONCAT("ip route", " ", D10, " ", "255.255.255.0"," ", H10))</f>
        <v>ip route 172.2.3.0 255.255.255.0 10.1.4.1</v>
      </c>
    </row>
    <row r="11" spans="1:9" x14ac:dyDescent="0.2">
      <c r="B11" s="12">
        <v>2</v>
      </c>
      <c r="C11" s="7">
        <f t="shared" si="3"/>
        <v>2</v>
      </c>
      <c r="D11" s="8" t="str">
        <f t="shared" si="0"/>
        <v>172.2.2.0</v>
      </c>
      <c r="E11" s="8">
        <f ca="1">INDIRECT(_xlfn.CONCAT("B",MATCH("*",$A$1:$A$34)))</f>
        <v>1</v>
      </c>
      <c r="F11" s="8">
        <f ca="1">IF(MATCH("*",$A$1:$A$34) &gt; ROW(), INDIRECT(_xlfn.CONCAT("C",MATCH("*",$A$1:$A$34))), INDIRECT(_xlfn.CONCAT("C",MATCH("*",$A$1:$A$34))) - 1)</f>
        <v>4</v>
      </c>
      <c r="G11" s="8">
        <f>IF(MATCH("*",$A$1:$A$34) &gt; ROW(), 2, 1)</f>
        <v>1</v>
      </c>
      <c r="H11" s="8" t="str">
        <f t="shared" ca="1" si="1"/>
        <v>10.1.4.1</v>
      </c>
      <c r="I11" t="str">
        <f ca="1">IF(MATCH("*",$A$1:$A$34) = ROW(),"",_xlfn.CONCAT("ip route", " ", D11, " ", "255.255.255.0"," ", H11))</f>
        <v>ip route 172.2.2.0 255.255.255.0 10.1.4.1</v>
      </c>
    </row>
    <row r="12" spans="1:9" x14ac:dyDescent="0.2">
      <c r="B12" s="12">
        <v>2</v>
      </c>
      <c r="C12" s="7">
        <f t="shared" si="3"/>
        <v>1</v>
      </c>
      <c r="D12" s="8" t="str">
        <f t="shared" si="0"/>
        <v>172.2.1.0</v>
      </c>
      <c r="E12" s="8">
        <f ca="1">INDIRECT(_xlfn.CONCAT("B",MATCH("*",$A$1:$A$34)))</f>
        <v>1</v>
      </c>
      <c r="F12" s="8">
        <f ca="1">IF(MATCH("*",$A$1:$A$34) &gt; ROW(), INDIRECT(_xlfn.CONCAT("C",MATCH("*",$A$1:$A$34))), INDIRECT(_xlfn.CONCAT("C",MATCH("*",$A$1:$A$34))) - 1)</f>
        <v>4</v>
      </c>
      <c r="G12" s="8">
        <f>IF(MATCH("*",$A$1:$A$34) &gt; ROW(), 2, 1)</f>
        <v>1</v>
      </c>
      <c r="H12" s="8" t="str">
        <f t="shared" ca="1" si="1"/>
        <v>10.1.4.1</v>
      </c>
      <c r="I12" t="str">
        <f ca="1">IF(MATCH("*",$A$1:$A$34) = ROW(),"",_xlfn.CONCAT("ip route", " ", D12, " ", "255.255.255.0"," ", H12))</f>
        <v>ip route 172.2.1.0 255.255.255.0 10.1.4.1</v>
      </c>
    </row>
    <row r="13" spans="1:9" x14ac:dyDescent="0.2">
      <c r="B13" s="12">
        <v>2</v>
      </c>
      <c r="C13" s="7">
        <f t="shared" si="3"/>
        <v>0</v>
      </c>
      <c r="D13" s="8" t="str">
        <f t="shared" si="0"/>
        <v>172.2.0.0</v>
      </c>
      <c r="E13" s="8">
        <f ca="1">INDIRECT(_xlfn.CONCAT("B",MATCH("*",$A$1:$A$34)))</f>
        <v>1</v>
      </c>
      <c r="F13" s="8">
        <f ca="1">IF(MATCH("*",$A$1:$A$34) &gt; ROW(), INDIRECT(_xlfn.CONCAT("C",MATCH("*",$A$1:$A$34))), INDIRECT(_xlfn.CONCAT("C",MATCH("*",$A$1:$A$34))) - 1)</f>
        <v>4</v>
      </c>
      <c r="G13" s="8">
        <f>IF(MATCH("*",$A$1:$A$34) &gt; ROW(), 2, 1)</f>
        <v>1</v>
      </c>
      <c r="H13" s="8" t="str">
        <f t="shared" ca="1" si="1"/>
        <v>10.1.4.1</v>
      </c>
      <c r="I13" t="str">
        <f ca="1">IF(MATCH("*",$A$1:$A$34) = ROW(),"",_xlfn.CONCAT("ip route", " ", D13, " ", "255.255.255.0"," ", H13))</f>
        <v>ip route 172.2.0.0 255.255.255.0 10.1.4.1</v>
      </c>
    </row>
    <row r="14" spans="1:9" x14ac:dyDescent="0.2">
      <c r="B14" s="13">
        <v>3</v>
      </c>
      <c r="C14" s="7">
        <v>20</v>
      </c>
      <c r="D14" s="8" t="str">
        <f t="shared" si="0"/>
        <v>172.3.20.0</v>
      </c>
      <c r="E14" s="8">
        <f ca="1">INDIRECT(_xlfn.CONCAT("B",MATCH("*",$A$1:$A$34)))</f>
        <v>1</v>
      </c>
      <c r="F14" s="8">
        <f ca="1">IF(MATCH("*",$A$1:$A$34) &gt; ROW(), INDIRECT(_xlfn.CONCAT("C",MATCH("*",$A$1:$A$34))), INDIRECT(_xlfn.CONCAT("C",MATCH("*",$A$1:$A$34))) - 1)</f>
        <v>4</v>
      </c>
      <c r="G14" s="8">
        <f>IF(MATCH("*",$A$1:$A$34) &gt; ROW(), 2, 1)</f>
        <v>1</v>
      </c>
      <c r="H14" s="8" t="str">
        <f t="shared" ca="1" si="1"/>
        <v>10.1.4.1</v>
      </c>
      <c r="I14" t="str">
        <f ca="1">IF(MATCH("*",$A$1:$A$34) = ROW(),"",_xlfn.CONCAT("ip route", " ", D14, " ", "255.255.255.0"," ", H14))</f>
        <v>ip route 172.3.20.0 255.255.255.0 10.1.4.1</v>
      </c>
    </row>
    <row r="15" spans="1:9" x14ac:dyDescent="0.2">
      <c r="B15" s="13">
        <v>3</v>
      </c>
      <c r="C15" s="7">
        <f>C14-1</f>
        <v>19</v>
      </c>
      <c r="D15" s="8" t="str">
        <f t="shared" si="0"/>
        <v>172.3.19.0</v>
      </c>
      <c r="E15" s="8">
        <f ca="1">INDIRECT(_xlfn.CONCAT("B",MATCH("*",$A$1:$A$34)))</f>
        <v>1</v>
      </c>
      <c r="F15" s="8">
        <f ca="1">IF(MATCH("*",$A$1:$A$34) &gt; ROW(), INDIRECT(_xlfn.CONCAT("C",MATCH("*",$A$1:$A$34))), INDIRECT(_xlfn.CONCAT("C",MATCH("*",$A$1:$A$34))) - 1)</f>
        <v>4</v>
      </c>
      <c r="G15" s="8">
        <f>IF(MATCH("*",$A$1:$A$34) &gt; ROW(), 2, 1)</f>
        <v>1</v>
      </c>
      <c r="H15" s="8" t="str">
        <f t="shared" ca="1" si="1"/>
        <v>10.1.4.1</v>
      </c>
      <c r="I15" t="str">
        <f ca="1">IF(MATCH("*",$A$1:$A$34) = ROW(),"",_xlfn.CONCAT("ip route", " ", D15, " ", "255.255.255.0"," ", H15))</f>
        <v>ip route 172.3.19.0 255.255.255.0 10.1.4.1</v>
      </c>
    </row>
    <row r="16" spans="1:9" x14ac:dyDescent="0.2">
      <c r="B16" s="13">
        <v>3</v>
      </c>
      <c r="C16" s="7">
        <f t="shared" ref="C16:C34" si="4">C15-1</f>
        <v>18</v>
      </c>
      <c r="D16" s="8" t="str">
        <f t="shared" si="0"/>
        <v>172.3.18.0</v>
      </c>
      <c r="E16" s="8">
        <f ca="1">INDIRECT(_xlfn.CONCAT("B",MATCH("*",$A$1:$A$34)))</f>
        <v>1</v>
      </c>
      <c r="F16" s="8">
        <f ca="1">IF(MATCH("*",$A$1:$A$34) &gt; ROW(), INDIRECT(_xlfn.CONCAT("C",MATCH("*",$A$1:$A$34))), INDIRECT(_xlfn.CONCAT("C",MATCH("*",$A$1:$A$34))) - 1)</f>
        <v>4</v>
      </c>
      <c r="G16" s="8">
        <f>IF(MATCH("*",$A$1:$A$34) &gt; ROW(), 2, 1)</f>
        <v>1</v>
      </c>
      <c r="H16" s="8" t="str">
        <f t="shared" ca="1" si="1"/>
        <v>10.1.4.1</v>
      </c>
      <c r="I16" t="str">
        <f ca="1">IF(MATCH("*",$A$1:$A$34) = ROW(),"",_xlfn.CONCAT("ip route", " ", D16, " ", "255.255.255.0"," ", H16))</f>
        <v>ip route 172.3.18.0 255.255.255.0 10.1.4.1</v>
      </c>
    </row>
    <row r="17" spans="2:9" x14ac:dyDescent="0.2">
      <c r="B17" s="13">
        <v>3</v>
      </c>
      <c r="C17" s="7">
        <f t="shared" si="4"/>
        <v>17</v>
      </c>
      <c r="D17" s="8" t="str">
        <f t="shared" si="0"/>
        <v>172.3.17.0</v>
      </c>
      <c r="E17" s="8">
        <f ca="1">INDIRECT(_xlfn.CONCAT("B",MATCH("*",$A$1:$A$34)))</f>
        <v>1</v>
      </c>
      <c r="F17" s="8">
        <f ca="1">IF(MATCH("*",$A$1:$A$34) &gt; ROW(), INDIRECT(_xlfn.CONCAT("C",MATCH("*",$A$1:$A$34))), INDIRECT(_xlfn.CONCAT("C",MATCH("*",$A$1:$A$34))) - 1)</f>
        <v>4</v>
      </c>
      <c r="G17" s="8">
        <f>IF(MATCH("*",$A$1:$A$34) &gt; ROW(), 2, 1)</f>
        <v>1</v>
      </c>
      <c r="H17" s="8" t="str">
        <f t="shared" ca="1" si="1"/>
        <v>10.1.4.1</v>
      </c>
      <c r="I17" t="str">
        <f ca="1">IF(MATCH("*",$A$1:$A$34) = ROW(),"",_xlfn.CONCAT("ip route", " ", D17, " ", "255.255.255.0"," ", H17))</f>
        <v>ip route 172.3.17.0 255.255.255.0 10.1.4.1</v>
      </c>
    </row>
    <row r="18" spans="2:9" x14ac:dyDescent="0.2">
      <c r="B18" s="13">
        <v>3</v>
      </c>
      <c r="C18" s="7">
        <f t="shared" si="4"/>
        <v>16</v>
      </c>
      <c r="D18" s="8" t="str">
        <f t="shared" si="0"/>
        <v>172.3.16.0</v>
      </c>
      <c r="E18" s="8">
        <f ca="1">INDIRECT(_xlfn.CONCAT("B",MATCH("*",$A$1:$A$34)))</f>
        <v>1</v>
      </c>
      <c r="F18" s="8">
        <f ca="1">IF(MATCH("*",$A$1:$A$34) &gt; ROW(), INDIRECT(_xlfn.CONCAT("C",MATCH("*",$A$1:$A$34))), INDIRECT(_xlfn.CONCAT("C",MATCH("*",$A$1:$A$34))) - 1)</f>
        <v>4</v>
      </c>
      <c r="G18" s="8">
        <f>IF(MATCH("*",$A$1:$A$34) &gt; ROW(), 2, 1)</f>
        <v>1</v>
      </c>
      <c r="H18" s="8" t="str">
        <f t="shared" ca="1" si="1"/>
        <v>10.1.4.1</v>
      </c>
      <c r="I18" t="str">
        <f ca="1">IF(MATCH("*",$A$1:$A$34) = ROW(),"",_xlfn.CONCAT("ip route", " ", D18, " ", "255.255.255.0"," ", H18))</f>
        <v>ip route 172.3.16.0 255.255.255.0 10.1.4.1</v>
      </c>
    </row>
    <row r="19" spans="2:9" x14ac:dyDescent="0.2">
      <c r="B19" s="13">
        <v>3</v>
      </c>
      <c r="C19" s="7">
        <f t="shared" si="4"/>
        <v>15</v>
      </c>
      <c r="D19" s="8" t="str">
        <f t="shared" si="0"/>
        <v>172.3.15.0</v>
      </c>
      <c r="E19" s="8">
        <f ca="1">INDIRECT(_xlfn.CONCAT("B",MATCH("*",$A$1:$A$34)))</f>
        <v>1</v>
      </c>
      <c r="F19" s="8">
        <f ca="1">IF(MATCH("*",$A$1:$A$34) &gt; ROW(), INDIRECT(_xlfn.CONCAT("C",MATCH("*",$A$1:$A$34))), INDIRECT(_xlfn.CONCAT("C",MATCH("*",$A$1:$A$34))) - 1)</f>
        <v>4</v>
      </c>
      <c r="G19" s="8">
        <f>IF(MATCH("*",$A$1:$A$34) &gt; ROW(), 2, 1)</f>
        <v>1</v>
      </c>
      <c r="H19" s="8" t="str">
        <f t="shared" ca="1" si="1"/>
        <v>10.1.4.1</v>
      </c>
      <c r="I19" t="str">
        <f ca="1">IF(MATCH("*",$A$1:$A$34) = ROW(),"",_xlfn.CONCAT("ip route", " ", D19, " ", "255.255.255.0"," ", H19))</f>
        <v>ip route 172.3.15.0 255.255.255.0 10.1.4.1</v>
      </c>
    </row>
    <row r="20" spans="2:9" x14ac:dyDescent="0.2">
      <c r="B20" s="13">
        <v>3</v>
      </c>
      <c r="C20" s="7">
        <f t="shared" si="4"/>
        <v>14</v>
      </c>
      <c r="D20" s="8" t="str">
        <f t="shared" si="0"/>
        <v>172.3.14.0</v>
      </c>
      <c r="E20" s="8">
        <f ca="1">INDIRECT(_xlfn.CONCAT("B",MATCH("*",$A$1:$A$34)))</f>
        <v>1</v>
      </c>
      <c r="F20" s="8">
        <f ca="1">IF(MATCH("*",$A$1:$A$34) &gt; ROW(), INDIRECT(_xlfn.CONCAT("C",MATCH("*",$A$1:$A$34))), INDIRECT(_xlfn.CONCAT("C",MATCH("*",$A$1:$A$34))) - 1)</f>
        <v>4</v>
      </c>
      <c r="G20" s="8">
        <f>IF(MATCH("*",$A$1:$A$34) &gt; ROW(), 2, 1)</f>
        <v>1</v>
      </c>
      <c r="H20" s="8" t="str">
        <f t="shared" ca="1" si="1"/>
        <v>10.1.4.1</v>
      </c>
      <c r="I20" t="str">
        <f ca="1">IF(MATCH("*",$A$1:$A$34) = ROW(),"",_xlfn.CONCAT("ip route", " ", D20, " ", "255.255.255.0"," ", H20))</f>
        <v>ip route 172.3.14.0 255.255.255.0 10.1.4.1</v>
      </c>
    </row>
    <row r="21" spans="2:9" x14ac:dyDescent="0.2">
      <c r="B21" s="13">
        <v>3</v>
      </c>
      <c r="C21" s="7">
        <f t="shared" si="4"/>
        <v>13</v>
      </c>
      <c r="D21" s="8" t="str">
        <f t="shared" si="0"/>
        <v>172.3.13.0</v>
      </c>
      <c r="E21" s="8">
        <f ca="1">INDIRECT(_xlfn.CONCAT("B",MATCH("*",$A$1:$A$34)))</f>
        <v>1</v>
      </c>
      <c r="F21" s="8">
        <f ca="1">IF(MATCH("*",$A$1:$A$34) &gt; ROW(), INDIRECT(_xlfn.CONCAT("C",MATCH("*",$A$1:$A$34))), INDIRECT(_xlfn.CONCAT("C",MATCH("*",$A$1:$A$34))) - 1)</f>
        <v>4</v>
      </c>
      <c r="G21" s="8">
        <f>IF(MATCH("*",$A$1:$A$34) &gt; ROW(), 2, 1)</f>
        <v>1</v>
      </c>
      <c r="H21" s="8" t="str">
        <f t="shared" ca="1" si="1"/>
        <v>10.1.4.1</v>
      </c>
      <c r="I21" t="str">
        <f ca="1">IF(MATCH("*",$A$1:$A$34) = ROW(),"",_xlfn.CONCAT("ip route", " ", D21, " ", "255.255.255.0"," ", H21))</f>
        <v>ip route 172.3.13.0 255.255.255.0 10.1.4.1</v>
      </c>
    </row>
    <row r="22" spans="2:9" x14ac:dyDescent="0.2">
      <c r="B22" s="13">
        <v>3</v>
      </c>
      <c r="C22" s="7">
        <f t="shared" si="4"/>
        <v>12</v>
      </c>
      <c r="D22" s="8" t="str">
        <f t="shared" si="0"/>
        <v>172.3.12.0</v>
      </c>
      <c r="E22" s="8">
        <f ca="1">INDIRECT(_xlfn.CONCAT("B",MATCH("*",$A$1:$A$34)))</f>
        <v>1</v>
      </c>
      <c r="F22" s="8">
        <f ca="1">IF(MATCH("*",$A$1:$A$34) &gt; ROW(), INDIRECT(_xlfn.CONCAT("C",MATCH("*",$A$1:$A$34))), INDIRECT(_xlfn.CONCAT("C",MATCH("*",$A$1:$A$34))) - 1)</f>
        <v>4</v>
      </c>
      <c r="G22" s="8">
        <f>IF(MATCH("*",$A$1:$A$34) &gt; ROW(), 2, 1)</f>
        <v>1</v>
      </c>
      <c r="H22" s="8" t="str">
        <f t="shared" ca="1" si="1"/>
        <v>10.1.4.1</v>
      </c>
      <c r="I22" t="str">
        <f ca="1">IF(MATCH("*",$A$1:$A$34) = ROW(),"",_xlfn.CONCAT("ip route", " ", D22, " ", "255.255.255.0"," ", H22))</f>
        <v>ip route 172.3.12.0 255.255.255.0 10.1.4.1</v>
      </c>
    </row>
    <row r="23" spans="2:9" x14ac:dyDescent="0.2">
      <c r="B23" s="13">
        <v>3</v>
      </c>
      <c r="C23" s="7">
        <f t="shared" si="4"/>
        <v>11</v>
      </c>
      <c r="D23" s="8" t="str">
        <f t="shared" si="0"/>
        <v>172.3.11.0</v>
      </c>
      <c r="E23" s="8">
        <f ca="1">INDIRECT(_xlfn.CONCAT("B",MATCH("*",$A$1:$A$34)))</f>
        <v>1</v>
      </c>
      <c r="F23" s="8">
        <f ca="1">IF(MATCH("*",$A$1:$A$34) &gt; ROW(), INDIRECT(_xlfn.CONCAT("C",MATCH("*",$A$1:$A$34))), INDIRECT(_xlfn.CONCAT("C",MATCH("*",$A$1:$A$34))) - 1)</f>
        <v>4</v>
      </c>
      <c r="G23" s="8">
        <f>IF(MATCH("*",$A$1:$A$34) &gt; ROW(), 2, 1)</f>
        <v>1</v>
      </c>
      <c r="H23" s="8" t="str">
        <f t="shared" ca="1" si="1"/>
        <v>10.1.4.1</v>
      </c>
      <c r="I23" t="str">
        <f ca="1">IF(MATCH("*",$A$1:$A$34) = ROW(),"",_xlfn.CONCAT("ip route", " ", D23, " ", "255.255.255.0"," ", H23))</f>
        <v>ip route 172.3.11.0 255.255.255.0 10.1.4.1</v>
      </c>
    </row>
    <row r="24" spans="2:9" x14ac:dyDescent="0.2">
      <c r="B24" s="13">
        <v>3</v>
      </c>
      <c r="C24" s="7">
        <f t="shared" si="4"/>
        <v>10</v>
      </c>
      <c r="D24" s="8" t="str">
        <f t="shared" si="0"/>
        <v>172.3.10.0</v>
      </c>
      <c r="E24" s="8">
        <f ca="1">INDIRECT(_xlfn.CONCAT("B",MATCH("*",$A$1:$A$34)))</f>
        <v>1</v>
      </c>
      <c r="F24" s="8">
        <f ca="1">IF(MATCH("*",$A$1:$A$34) &gt; ROW(), INDIRECT(_xlfn.CONCAT("C",MATCH("*",$A$1:$A$34))), INDIRECT(_xlfn.CONCAT("C",MATCH("*",$A$1:$A$34))) - 1)</f>
        <v>4</v>
      </c>
      <c r="G24" s="8">
        <f>IF(MATCH("*",$A$1:$A$34) &gt; ROW(), 2, 1)</f>
        <v>1</v>
      </c>
      <c r="H24" s="8" t="str">
        <f t="shared" ca="1" si="1"/>
        <v>10.1.4.1</v>
      </c>
      <c r="I24" t="str">
        <f ca="1">IF(MATCH("*",$A$1:$A$34) = ROW(),"",_xlfn.CONCAT("ip route", " ", D24, " ", "255.255.255.0"," ", H24))</f>
        <v>ip route 172.3.10.0 255.255.255.0 10.1.4.1</v>
      </c>
    </row>
    <row r="25" spans="2:9" x14ac:dyDescent="0.2">
      <c r="B25" s="13">
        <v>3</v>
      </c>
      <c r="C25" s="7">
        <f>C24-1</f>
        <v>9</v>
      </c>
      <c r="D25" s="8" t="str">
        <f t="shared" si="0"/>
        <v>172.3.9.0</v>
      </c>
      <c r="E25" s="8">
        <f ca="1">INDIRECT(_xlfn.CONCAT("B",MATCH("*",$A$1:$A$34)))</f>
        <v>1</v>
      </c>
      <c r="F25" s="8">
        <f ca="1">IF(MATCH("*",$A$1:$A$34) &gt; ROW(), INDIRECT(_xlfn.CONCAT("C",MATCH("*",$A$1:$A$34))), INDIRECT(_xlfn.CONCAT("C",MATCH("*",$A$1:$A$34))) - 1)</f>
        <v>4</v>
      </c>
      <c r="G25" s="8">
        <f>IF(MATCH("*",$A$1:$A$34) &gt; ROW(), 2, 1)</f>
        <v>1</v>
      </c>
      <c r="H25" s="8" t="str">
        <f t="shared" ca="1" si="1"/>
        <v>10.1.4.1</v>
      </c>
      <c r="I25" t="str">
        <f ca="1">IF(MATCH("*",$A$1:$A$34) = ROW(),"",_xlfn.CONCAT("ip route", " ", D25, " ", "255.255.255.0"," ", H25))</f>
        <v>ip route 172.3.9.0 255.255.255.0 10.1.4.1</v>
      </c>
    </row>
    <row r="26" spans="2:9" x14ac:dyDescent="0.2">
      <c r="B26" s="13">
        <v>3</v>
      </c>
      <c r="C26" s="7">
        <f t="shared" si="4"/>
        <v>8</v>
      </c>
      <c r="D26" s="8" t="str">
        <f t="shared" si="0"/>
        <v>172.3.8.0</v>
      </c>
      <c r="E26" s="8">
        <f ca="1">INDIRECT(_xlfn.CONCAT("B",MATCH("*",$A$1:$A$34)))</f>
        <v>1</v>
      </c>
      <c r="F26" s="8">
        <f ca="1">IF(MATCH("*",$A$1:$A$34) &gt; ROW(), INDIRECT(_xlfn.CONCAT("C",MATCH("*",$A$1:$A$34))), INDIRECT(_xlfn.CONCAT("C",MATCH("*",$A$1:$A$34))) - 1)</f>
        <v>4</v>
      </c>
      <c r="G26" s="8">
        <f>IF(MATCH("*",$A$1:$A$34) &gt; ROW(), 2, 1)</f>
        <v>1</v>
      </c>
      <c r="H26" s="8" t="str">
        <f t="shared" ca="1" si="1"/>
        <v>10.1.4.1</v>
      </c>
      <c r="I26" t="str">
        <f ca="1">IF(MATCH("*",$A$1:$A$34) = ROW(),"",_xlfn.CONCAT("ip route", " ", D26, " ", "255.255.255.0"," ", H26))</f>
        <v>ip route 172.3.8.0 255.255.255.0 10.1.4.1</v>
      </c>
    </row>
    <row r="27" spans="2:9" x14ac:dyDescent="0.2">
      <c r="B27" s="13">
        <v>3</v>
      </c>
      <c r="C27" s="7">
        <f t="shared" si="4"/>
        <v>7</v>
      </c>
      <c r="D27" s="8" t="str">
        <f t="shared" si="0"/>
        <v>172.3.7.0</v>
      </c>
      <c r="E27" s="8">
        <f ca="1">INDIRECT(_xlfn.CONCAT("B",MATCH("*",$A$1:$A$34)))</f>
        <v>1</v>
      </c>
      <c r="F27" s="8">
        <f ca="1">IF(MATCH("*",$A$1:$A$34) &gt; ROW(), INDIRECT(_xlfn.CONCAT("C",MATCH("*",$A$1:$A$34))), INDIRECT(_xlfn.CONCAT("C",MATCH("*",$A$1:$A$34))) - 1)</f>
        <v>4</v>
      </c>
      <c r="G27" s="8">
        <f>IF(MATCH("*",$A$1:$A$34) &gt; ROW(), 2, 1)</f>
        <v>1</v>
      </c>
      <c r="H27" s="8" t="str">
        <f t="shared" ca="1" si="1"/>
        <v>10.1.4.1</v>
      </c>
      <c r="I27" t="str">
        <f ca="1">IF(MATCH("*",$A$1:$A$34) = ROW(),"",_xlfn.CONCAT("ip route", " ", D27, " ", "255.255.255.0"," ", H27))</f>
        <v>ip route 172.3.7.0 255.255.255.0 10.1.4.1</v>
      </c>
    </row>
    <row r="28" spans="2:9" x14ac:dyDescent="0.2">
      <c r="B28" s="13">
        <v>3</v>
      </c>
      <c r="C28" s="7">
        <f t="shared" si="4"/>
        <v>6</v>
      </c>
      <c r="D28" s="8" t="str">
        <f t="shared" si="0"/>
        <v>172.3.6.0</v>
      </c>
      <c r="E28" s="8">
        <f ca="1">INDIRECT(_xlfn.CONCAT("B",MATCH("*",$A$1:$A$34)))</f>
        <v>1</v>
      </c>
      <c r="F28" s="8">
        <f ca="1">IF(MATCH("*",$A$1:$A$34) &gt; ROW(), INDIRECT(_xlfn.CONCAT("C",MATCH("*",$A$1:$A$34))), INDIRECT(_xlfn.CONCAT("C",MATCH("*",$A$1:$A$34))) - 1)</f>
        <v>4</v>
      </c>
      <c r="G28" s="8">
        <f>IF(MATCH("*",$A$1:$A$34) &gt; ROW(), 2, 1)</f>
        <v>1</v>
      </c>
      <c r="H28" s="8" t="str">
        <f t="shared" ca="1" si="1"/>
        <v>10.1.4.1</v>
      </c>
      <c r="I28" t="str">
        <f ca="1">IF(MATCH("*",$A$1:$A$34) = ROW(),"",_xlfn.CONCAT("ip route", " ", D28, " ", "255.255.255.0"," ", H28))</f>
        <v>ip route 172.3.6.0 255.255.255.0 10.1.4.1</v>
      </c>
    </row>
    <row r="29" spans="2:9" x14ac:dyDescent="0.2">
      <c r="B29" s="13">
        <v>3</v>
      </c>
      <c r="C29" s="7">
        <f t="shared" si="4"/>
        <v>5</v>
      </c>
      <c r="D29" s="8" t="str">
        <f t="shared" si="0"/>
        <v>172.3.5.0</v>
      </c>
      <c r="E29" s="8">
        <f ca="1">INDIRECT(_xlfn.CONCAT("B",MATCH("*",$A$1:$A$34)))</f>
        <v>1</v>
      </c>
      <c r="F29" s="8">
        <f ca="1">IF(MATCH("*",$A$1:$A$34) &gt; ROW(), INDIRECT(_xlfn.CONCAT("C",MATCH("*",$A$1:$A$34))), INDIRECT(_xlfn.CONCAT("C",MATCH("*",$A$1:$A$34))) - 1)</f>
        <v>4</v>
      </c>
      <c r="G29" s="8">
        <f>IF(MATCH("*",$A$1:$A$34) &gt; ROW(), 2, 1)</f>
        <v>1</v>
      </c>
      <c r="H29" s="8" t="str">
        <f t="shared" ca="1" si="1"/>
        <v>10.1.4.1</v>
      </c>
      <c r="I29" t="str">
        <f ca="1">IF(MATCH("*",$A$1:$A$34) = ROW(),"",_xlfn.CONCAT("ip route", " ", D29, " ", "255.255.255.0"," ", H29))</f>
        <v>ip route 172.3.5.0 255.255.255.0 10.1.4.1</v>
      </c>
    </row>
    <row r="30" spans="2:9" x14ac:dyDescent="0.2">
      <c r="B30" s="13">
        <v>3</v>
      </c>
      <c r="C30" s="7">
        <f t="shared" si="4"/>
        <v>4</v>
      </c>
      <c r="D30" s="8" t="str">
        <f t="shared" si="0"/>
        <v>172.3.4.0</v>
      </c>
      <c r="E30" s="8">
        <f ca="1">INDIRECT(_xlfn.CONCAT("B",MATCH("*",$A$1:$A$34)))</f>
        <v>1</v>
      </c>
      <c r="F30" s="8">
        <f ca="1">IF(MATCH("*",$A$1:$A$34) &gt; ROW(), INDIRECT(_xlfn.CONCAT("C",MATCH("*",$A$1:$A$34))), INDIRECT(_xlfn.CONCAT("C",MATCH("*",$A$1:$A$34))) - 1)</f>
        <v>4</v>
      </c>
      <c r="G30" s="8">
        <f>IF(MATCH("*",$A$1:$A$34) &gt; ROW(), 2, 1)</f>
        <v>1</v>
      </c>
      <c r="H30" s="8" t="str">
        <f t="shared" ca="1" si="1"/>
        <v>10.1.4.1</v>
      </c>
      <c r="I30" t="str">
        <f ca="1">IF(MATCH("*",$A$1:$A$34) = ROW(),"",_xlfn.CONCAT("ip route", " ", D30, " ", "255.255.255.0"," ", H30))</f>
        <v>ip route 172.3.4.0 255.255.255.0 10.1.4.1</v>
      </c>
    </row>
    <row r="31" spans="2:9" x14ac:dyDescent="0.2">
      <c r="B31" s="13">
        <v>3</v>
      </c>
      <c r="C31" s="7">
        <f t="shared" si="4"/>
        <v>3</v>
      </c>
      <c r="D31" s="8" t="str">
        <f t="shared" si="0"/>
        <v>172.3.3.0</v>
      </c>
      <c r="E31" s="8">
        <f ca="1">INDIRECT(_xlfn.CONCAT("B",MATCH("*",$A$1:$A$34)))</f>
        <v>1</v>
      </c>
      <c r="F31" s="8">
        <f ca="1">IF(MATCH("*",$A$1:$A$34) &gt; ROW(), INDIRECT(_xlfn.CONCAT("C",MATCH("*",$A$1:$A$34))), INDIRECT(_xlfn.CONCAT("C",MATCH("*",$A$1:$A$34))) - 1)</f>
        <v>4</v>
      </c>
      <c r="G31" s="8">
        <f>IF(MATCH("*",$A$1:$A$34) &gt; ROW(), 2, 1)</f>
        <v>1</v>
      </c>
      <c r="H31" s="8" t="str">
        <f t="shared" ca="1" si="1"/>
        <v>10.1.4.1</v>
      </c>
      <c r="I31" t="str">
        <f ca="1">IF(MATCH("*",$A$1:$A$34) = ROW(),"",_xlfn.CONCAT("ip route", " ", D31, " ", "255.255.255.0"," ", H31))</f>
        <v>ip route 172.3.3.0 255.255.255.0 10.1.4.1</v>
      </c>
    </row>
    <row r="32" spans="2:9" x14ac:dyDescent="0.2">
      <c r="B32" s="13">
        <v>3</v>
      </c>
      <c r="C32" s="7">
        <f t="shared" si="4"/>
        <v>2</v>
      </c>
      <c r="D32" s="8" t="str">
        <f t="shared" si="0"/>
        <v>172.3.2.0</v>
      </c>
      <c r="E32" s="8">
        <f ca="1">INDIRECT(_xlfn.CONCAT("B",MATCH("*",$A$1:$A$34)))</f>
        <v>1</v>
      </c>
      <c r="F32" s="8">
        <f ca="1">IF(MATCH("*",$A$1:$A$34) &gt; ROW(), INDIRECT(_xlfn.CONCAT("C",MATCH("*",$A$1:$A$34))), INDIRECT(_xlfn.CONCAT("C",MATCH("*",$A$1:$A$34))) - 1)</f>
        <v>4</v>
      </c>
      <c r="G32" s="8">
        <f>IF(MATCH("*",$A$1:$A$34) &gt; ROW(), 2, 1)</f>
        <v>1</v>
      </c>
      <c r="H32" s="8" t="str">
        <f t="shared" ca="1" si="1"/>
        <v>10.1.4.1</v>
      </c>
      <c r="I32" t="str">
        <f ca="1">IF(MATCH("*",$A$1:$A$34) = ROW(),"",_xlfn.CONCAT("ip route", " ", D32, " ", "255.255.255.0"," ", H32))</f>
        <v>ip route 172.3.2.0 255.255.255.0 10.1.4.1</v>
      </c>
    </row>
    <row r="33" spans="2:9" x14ac:dyDescent="0.2">
      <c r="B33" s="13">
        <v>3</v>
      </c>
      <c r="C33" s="7">
        <f t="shared" si="4"/>
        <v>1</v>
      </c>
      <c r="D33" s="8" t="str">
        <f t="shared" si="0"/>
        <v>172.3.1.0</v>
      </c>
      <c r="E33" s="8">
        <f ca="1">INDIRECT(_xlfn.CONCAT("B",MATCH("*",$A$1:$A$34)))</f>
        <v>1</v>
      </c>
      <c r="F33" s="8">
        <f ca="1">IF(MATCH("*",$A$1:$A$34) &gt; ROW(), INDIRECT(_xlfn.CONCAT("C",MATCH("*",$A$1:$A$34))), INDIRECT(_xlfn.CONCAT("C",MATCH("*",$A$1:$A$34))) - 1)</f>
        <v>4</v>
      </c>
      <c r="G33" s="8">
        <f>IF(MATCH("*",$A$1:$A$34) &gt; ROW(), 2, 1)</f>
        <v>1</v>
      </c>
      <c r="H33" s="8" t="str">
        <f t="shared" ca="1" si="1"/>
        <v>10.1.4.1</v>
      </c>
      <c r="I33" t="str">
        <f ca="1">IF(MATCH("*",$A$1:$A$34) = ROW(),"",_xlfn.CONCAT("ip route", " ", D33, " ", "255.255.255.0"," ", H33))</f>
        <v>ip route 172.3.1.0 255.255.255.0 10.1.4.1</v>
      </c>
    </row>
    <row r="34" spans="2:9" x14ac:dyDescent="0.2">
      <c r="B34" s="13">
        <v>3</v>
      </c>
      <c r="C34" s="7">
        <f t="shared" si="4"/>
        <v>0</v>
      </c>
      <c r="D34" s="8" t="str">
        <f t="shared" si="0"/>
        <v>172.3.0.0</v>
      </c>
      <c r="E34" s="8">
        <f ca="1">INDIRECT(_xlfn.CONCAT("B",MATCH("*",$A$1:$A$34)))</f>
        <v>1</v>
      </c>
      <c r="F34" s="8">
        <f ca="1">IF(MATCH("*",$A$1:$A$34) &gt; ROW(), INDIRECT(_xlfn.CONCAT("C",MATCH("*",$A$1:$A$34))), INDIRECT(_xlfn.CONCAT("C",MATCH("*",$A$1:$A$34))) - 1)</f>
        <v>4</v>
      </c>
      <c r="G34" s="8">
        <f>IF(MATCH("*",$A$1:$A$34) &gt; ROW(), 2, 1)</f>
        <v>1</v>
      </c>
      <c r="H34" s="8" t="str">
        <f t="shared" ca="1" si="1"/>
        <v>10.1.4.1</v>
      </c>
      <c r="I34" t="str">
        <f ca="1">IF(MATCH("*",$A$1:$A$34) = ROW(),"",_xlfn.CONCAT("ip route", " ", D34, " ", "255.255.255.0"," ", H34))</f>
        <v>ip route 172.3.0.0 255.255.255.0 10.1.4.1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0AFAA-8036-5748-A687-D4A954FCC149}">
  <dimension ref="A1:I34"/>
  <sheetViews>
    <sheetView tabSelected="1" zoomScale="140" zoomScaleNormal="140" workbookViewId="0">
      <selection activeCell="H24" sqref="H24"/>
    </sheetView>
  </sheetViews>
  <sheetFormatPr baseColWidth="10" defaultRowHeight="19" x14ac:dyDescent="0.2"/>
  <cols>
    <col min="1" max="1" width="3.33203125" style="6" customWidth="1"/>
    <col min="2" max="2" width="2.33203125" style="7" bestFit="1" customWidth="1"/>
    <col min="3" max="3" width="3.5" style="7" bestFit="1" customWidth="1"/>
    <col min="4" max="4" width="9.6640625" style="8" bestFit="1" customWidth="1"/>
    <col min="5" max="5" width="2.1640625" style="8" bestFit="1" customWidth="1"/>
    <col min="6" max="6" width="3.1640625" style="8" bestFit="1" customWidth="1"/>
    <col min="7" max="7" width="2.1640625" style="8" bestFit="1" customWidth="1"/>
    <col min="8" max="8" width="8.6640625" style="8" bestFit="1" customWidth="1"/>
    <col min="9" max="9" width="34.33203125" bestFit="1" customWidth="1"/>
  </cols>
  <sheetData>
    <row r="1" spans="1:9" x14ac:dyDescent="0.2">
      <c r="A1" s="6" t="s">
        <v>36</v>
      </c>
      <c r="B1" s="13">
        <v>3</v>
      </c>
      <c r="C1" s="7">
        <v>20</v>
      </c>
      <c r="D1" s="8" t="str">
        <f>_xlfn.CONCAT("172.",B1,".",C1,".0")</f>
        <v>172.3.20.0</v>
      </c>
      <c r="E1" s="8">
        <f ca="1">INDIRECT(_xlfn.CONCAT("B",MATCH("*",$A$1:$A$34)))</f>
        <v>3</v>
      </c>
      <c r="F1" s="8">
        <f ca="1">IF(MATCH("*",$A$1:$A$34) &gt; ROW(), INDIRECT(_xlfn.CONCAT("C",MATCH("*",$A$1:$A$34))), INDIRECT(_xlfn.CONCAT("C",MATCH("*",$A$1:$A$34))) - 1)</f>
        <v>19</v>
      </c>
      <c r="G1" s="8">
        <f>IF(MATCH("*",$A$1:$A$34) &gt; ROW(), 2, 1)</f>
        <v>1</v>
      </c>
      <c r="H1" s="8" t="str">
        <f ca="1">_xlfn.CONCAT("10.",E1,".",F1,".",G1)</f>
        <v>10.3.19.1</v>
      </c>
      <c r="I1" t="str">
        <f>IF(MATCH("*",$A$1:$A$34) = ROW(),"#",_xlfn.CONCAT("ip route", " ", D1, " ", "255.255.255.0"," ", H1))</f>
        <v>#</v>
      </c>
    </row>
    <row r="2" spans="1:9" x14ac:dyDescent="0.2">
      <c r="B2" s="13">
        <v>3</v>
      </c>
      <c r="C2" s="7">
        <f>C1-1</f>
        <v>19</v>
      </c>
      <c r="D2" s="8" t="str">
        <f>_xlfn.CONCAT("172.",B2,".",C2,".0")</f>
        <v>172.3.19.0</v>
      </c>
      <c r="E2" s="8">
        <f ca="1">INDIRECT(_xlfn.CONCAT("B",MATCH("*",$A$1:$A$34)))</f>
        <v>3</v>
      </c>
      <c r="F2" s="8">
        <f ca="1">IF(MATCH("*",$A$1:$A$34) &gt; ROW(), INDIRECT(_xlfn.CONCAT("C",MATCH("*",$A$1:$A$34))), INDIRECT(_xlfn.CONCAT("C",MATCH("*",$A$1:$A$34))) - 1)</f>
        <v>19</v>
      </c>
      <c r="G2" s="8">
        <f>IF(MATCH("*",$A$1:$A$34) &gt; ROW(), 2, 1)</f>
        <v>1</v>
      </c>
      <c r="H2" s="8" t="str">
        <f t="shared" ref="H2:H34" ca="1" si="0">_xlfn.CONCAT("10.",E2,".",F2,".",G2)</f>
        <v>10.3.19.1</v>
      </c>
      <c r="I2" t="str">
        <f ca="1">IF(MATCH("*",$A$1:$A$34) = ROW(),"#",_xlfn.CONCAT("ip route", " ", D2, " ", "255.255.255.0"," ", H2))</f>
        <v>ip route 172.3.19.0 255.255.255.0 10.3.19.1</v>
      </c>
    </row>
    <row r="3" spans="1:9" x14ac:dyDescent="0.2">
      <c r="B3" s="13">
        <v>3</v>
      </c>
      <c r="C3" s="7">
        <f t="shared" ref="C3:C21" si="1">C2-1</f>
        <v>18</v>
      </c>
      <c r="D3" s="8" t="str">
        <f>_xlfn.CONCAT("172.",B3,".",C3,".0")</f>
        <v>172.3.18.0</v>
      </c>
      <c r="E3" s="8">
        <f ca="1">INDIRECT(_xlfn.CONCAT("B",MATCH("*",$A$1:$A$34)))</f>
        <v>3</v>
      </c>
      <c r="F3" s="8">
        <f ca="1">IF(MATCH("*",$A$1:$A$34) &gt; ROW(), INDIRECT(_xlfn.CONCAT("C",MATCH("*",$A$1:$A$34))), INDIRECT(_xlfn.CONCAT("C",MATCH("*",$A$1:$A$34))) - 1)</f>
        <v>19</v>
      </c>
      <c r="G3" s="8">
        <f>IF(MATCH("*",$A$1:$A$34) &gt; ROW(), 2, 1)</f>
        <v>1</v>
      </c>
      <c r="H3" s="8" t="str">
        <f t="shared" ca="1" si="0"/>
        <v>10.3.19.1</v>
      </c>
      <c r="I3" t="str">
        <f ca="1">IF(MATCH("*",$A$1:$A$34) = ROW(),"#",_xlfn.CONCAT("ip route", " ", D3, " ", "255.255.255.0"," ", H3))</f>
        <v>ip route 172.3.18.0 255.255.255.0 10.3.19.1</v>
      </c>
    </row>
    <row r="4" spans="1:9" x14ac:dyDescent="0.2">
      <c r="B4" s="13">
        <v>3</v>
      </c>
      <c r="C4" s="7">
        <f t="shared" si="1"/>
        <v>17</v>
      </c>
      <c r="D4" s="8" t="str">
        <f>_xlfn.CONCAT("172.",B4,".",C4,".0")</f>
        <v>172.3.17.0</v>
      </c>
      <c r="E4" s="8">
        <f ca="1">INDIRECT(_xlfn.CONCAT("B",MATCH("*",$A$1:$A$34)))</f>
        <v>3</v>
      </c>
      <c r="F4" s="8">
        <f ca="1">IF(MATCH("*",$A$1:$A$34) &gt; ROW(), INDIRECT(_xlfn.CONCAT("C",MATCH("*",$A$1:$A$34))), INDIRECT(_xlfn.CONCAT("C",MATCH("*",$A$1:$A$34))) - 1)</f>
        <v>19</v>
      </c>
      <c r="G4" s="8">
        <f>IF(MATCH("*",$A$1:$A$34) &gt; ROW(), 2, 1)</f>
        <v>1</v>
      </c>
      <c r="H4" s="8" t="str">
        <f t="shared" ca="1" si="0"/>
        <v>10.3.19.1</v>
      </c>
      <c r="I4" t="str">
        <f ca="1">IF(MATCH("*",$A$1:$A$34) = ROW(),"#",_xlfn.CONCAT("ip route", " ", D4, " ", "255.255.255.0"," ", H4))</f>
        <v>ip route 172.3.17.0 255.255.255.0 10.3.19.1</v>
      </c>
    </row>
    <row r="5" spans="1:9" x14ac:dyDescent="0.2">
      <c r="B5" s="13">
        <v>3</v>
      </c>
      <c r="C5" s="7">
        <f t="shared" si="1"/>
        <v>16</v>
      </c>
      <c r="D5" s="8" t="str">
        <f>_xlfn.CONCAT("172.",B5,".",C5,".0")</f>
        <v>172.3.16.0</v>
      </c>
      <c r="E5" s="8">
        <f ca="1">INDIRECT(_xlfn.CONCAT("B",MATCH("*",$A$1:$A$34)))</f>
        <v>3</v>
      </c>
      <c r="F5" s="8">
        <f ca="1">IF(MATCH("*",$A$1:$A$34) &gt; ROW(), INDIRECT(_xlfn.CONCAT("C",MATCH("*",$A$1:$A$34))), INDIRECT(_xlfn.CONCAT("C",MATCH("*",$A$1:$A$34))) - 1)</f>
        <v>19</v>
      </c>
      <c r="G5" s="8">
        <f>IF(MATCH("*",$A$1:$A$34) &gt; ROW(), 2, 1)</f>
        <v>1</v>
      </c>
      <c r="H5" s="8" t="str">
        <f t="shared" ca="1" si="0"/>
        <v>10.3.19.1</v>
      </c>
      <c r="I5" t="str">
        <f ca="1">IF(MATCH("*",$A$1:$A$34) = ROW(),"#",_xlfn.CONCAT("ip route", " ", D5, " ", "255.255.255.0"," ", H5))</f>
        <v>ip route 172.3.16.0 255.255.255.0 10.3.19.1</v>
      </c>
    </row>
    <row r="6" spans="1:9" x14ac:dyDescent="0.2">
      <c r="B6" s="13">
        <v>3</v>
      </c>
      <c r="C6" s="7">
        <f t="shared" si="1"/>
        <v>15</v>
      </c>
      <c r="D6" s="8" t="str">
        <f>_xlfn.CONCAT("172.",B6,".",C6,".0")</f>
        <v>172.3.15.0</v>
      </c>
      <c r="E6" s="8">
        <f ca="1">INDIRECT(_xlfn.CONCAT("B",MATCH("*",$A$1:$A$34)))</f>
        <v>3</v>
      </c>
      <c r="F6" s="8">
        <f ca="1">IF(MATCH("*",$A$1:$A$34) &gt; ROW(), INDIRECT(_xlfn.CONCAT("C",MATCH("*",$A$1:$A$34))), INDIRECT(_xlfn.CONCAT("C",MATCH("*",$A$1:$A$34))) - 1)</f>
        <v>19</v>
      </c>
      <c r="G6" s="8">
        <f>IF(MATCH("*",$A$1:$A$34) &gt; ROW(), 2, 1)</f>
        <v>1</v>
      </c>
      <c r="H6" s="8" t="str">
        <f t="shared" ca="1" si="0"/>
        <v>10.3.19.1</v>
      </c>
      <c r="I6" t="str">
        <f ca="1">IF(MATCH("*",$A$1:$A$34) = ROW(),"#",_xlfn.CONCAT("ip route", " ", D6, " ", "255.255.255.0"," ", H6))</f>
        <v>ip route 172.3.15.0 255.255.255.0 10.3.19.1</v>
      </c>
    </row>
    <row r="7" spans="1:9" x14ac:dyDescent="0.2">
      <c r="B7" s="13">
        <v>3</v>
      </c>
      <c r="C7" s="7">
        <f t="shared" si="1"/>
        <v>14</v>
      </c>
      <c r="D7" s="8" t="str">
        <f>_xlfn.CONCAT("172.",B7,".",C7,".0")</f>
        <v>172.3.14.0</v>
      </c>
      <c r="E7" s="8">
        <f ca="1">INDIRECT(_xlfn.CONCAT("B",MATCH("*",$A$1:$A$34)))</f>
        <v>3</v>
      </c>
      <c r="F7" s="8">
        <f ca="1">IF(MATCH("*",$A$1:$A$34) &gt; ROW(), INDIRECT(_xlfn.CONCAT("C",MATCH("*",$A$1:$A$34))), INDIRECT(_xlfn.CONCAT("C",MATCH("*",$A$1:$A$34))) - 1)</f>
        <v>19</v>
      </c>
      <c r="G7" s="8">
        <f>IF(MATCH("*",$A$1:$A$34) &gt; ROW(), 2, 1)</f>
        <v>1</v>
      </c>
      <c r="H7" s="8" t="str">
        <f t="shared" ca="1" si="0"/>
        <v>10.3.19.1</v>
      </c>
      <c r="I7" t="str">
        <f ca="1">IF(MATCH("*",$A$1:$A$34) = ROW(),"#",_xlfn.CONCAT("ip route", " ", D7, " ", "255.255.255.0"," ", H7))</f>
        <v>ip route 172.3.14.0 255.255.255.0 10.3.19.1</v>
      </c>
    </row>
    <row r="8" spans="1:9" x14ac:dyDescent="0.2">
      <c r="B8" s="13">
        <v>3</v>
      </c>
      <c r="C8" s="7">
        <f t="shared" si="1"/>
        <v>13</v>
      </c>
      <c r="D8" s="8" t="str">
        <f>_xlfn.CONCAT("172.",B8,".",C8,".0")</f>
        <v>172.3.13.0</v>
      </c>
      <c r="E8" s="8">
        <f ca="1">INDIRECT(_xlfn.CONCAT("B",MATCH("*",$A$1:$A$34)))</f>
        <v>3</v>
      </c>
      <c r="F8" s="8">
        <f ca="1">IF(MATCH("*",$A$1:$A$34) &gt; ROW(), INDIRECT(_xlfn.CONCAT("C",MATCH("*",$A$1:$A$34))), INDIRECT(_xlfn.CONCAT("C",MATCH("*",$A$1:$A$34))) - 1)</f>
        <v>19</v>
      </c>
      <c r="G8" s="8">
        <f>IF(MATCH("*",$A$1:$A$34) &gt; ROW(), 2, 1)</f>
        <v>1</v>
      </c>
      <c r="H8" s="8" t="str">
        <f t="shared" ca="1" si="0"/>
        <v>10.3.19.1</v>
      </c>
      <c r="I8" t="str">
        <f ca="1">IF(MATCH("*",$A$1:$A$34) = ROW(),"#",_xlfn.CONCAT("ip route", " ", D8, " ", "255.255.255.0"," ", H8))</f>
        <v>ip route 172.3.13.0 255.255.255.0 10.3.19.1</v>
      </c>
    </row>
    <row r="9" spans="1:9" x14ac:dyDescent="0.2">
      <c r="B9" s="13">
        <v>3</v>
      </c>
      <c r="C9" s="7">
        <f t="shared" si="1"/>
        <v>12</v>
      </c>
      <c r="D9" s="8" t="str">
        <f>_xlfn.CONCAT("172.",B9,".",C9,".0")</f>
        <v>172.3.12.0</v>
      </c>
      <c r="E9" s="8">
        <f ca="1">INDIRECT(_xlfn.CONCAT("B",MATCH("*",$A$1:$A$34)))</f>
        <v>3</v>
      </c>
      <c r="F9" s="8">
        <f ca="1">IF(MATCH("*",$A$1:$A$34) &gt; ROW(), INDIRECT(_xlfn.CONCAT("C",MATCH("*",$A$1:$A$34))), INDIRECT(_xlfn.CONCAT("C",MATCH("*",$A$1:$A$34))) - 1)</f>
        <v>19</v>
      </c>
      <c r="G9" s="8">
        <f>IF(MATCH("*",$A$1:$A$34) &gt; ROW(), 2, 1)</f>
        <v>1</v>
      </c>
      <c r="H9" s="8" t="str">
        <f t="shared" ca="1" si="0"/>
        <v>10.3.19.1</v>
      </c>
      <c r="I9" t="str">
        <f ca="1">IF(MATCH("*",$A$1:$A$34) = ROW(),"#",_xlfn.CONCAT("ip route", " ", D9, " ", "255.255.255.0"," ", H9))</f>
        <v>ip route 172.3.12.0 255.255.255.0 10.3.19.1</v>
      </c>
    </row>
    <row r="10" spans="1:9" x14ac:dyDescent="0.2">
      <c r="B10" s="13">
        <v>3</v>
      </c>
      <c r="C10" s="7">
        <f t="shared" si="1"/>
        <v>11</v>
      </c>
      <c r="D10" s="8" t="str">
        <f>_xlfn.CONCAT("172.",B10,".",C10,".0")</f>
        <v>172.3.11.0</v>
      </c>
      <c r="E10" s="8">
        <f ca="1">INDIRECT(_xlfn.CONCAT("B",MATCH("*",$A$1:$A$34)))</f>
        <v>3</v>
      </c>
      <c r="F10" s="8">
        <f ca="1">IF(MATCH("*",$A$1:$A$34) &gt; ROW(), INDIRECT(_xlfn.CONCAT("C",MATCH("*",$A$1:$A$34))), INDIRECT(_xlfn.CONCAT("C",MATCH("*",$A$1:$A$34))) - 1)</f>
        <v>19</v>
      </c>
      <c r="G10" s="8">
        <f>IF(MATCH("*",$A$1:$A$34) &gt; ROW(), 2, 1)</f>
        <v>1</v>
      </c>
      <c r="H10" s="8" t="str">
        <f t="shared" ca="1" si="0"/>
        <v>10.3.19.1</v>
      </c>
      <c r="I10" t="str">
        <f ca="1">IF(MATCH("*",$A$1:$A$34) = ROW(),"#",_xlfn.CONCAT("ip route", " ", D10, " ", "255.255.255.0"," ", H10))</f>
        <v>ip route 172.3.11.0 255.255.255.0 10.3.19.1</v>
      </c>
    </row>
    <row r="11" spans="1:9" x14ac:dyDescent="0.2">
      <c r="B11" s="13">
        <v>3</v>
      </c>
      <c r="C11" s="7">
        <f t="shared" si="1"/>
        <v>10</v>
      </c>
      <c r="D11" s="8" t="str">
        <f>_xlfn.CONCAT("172.",B11,".",C11,".0")</f>
        <v>172.3.10.0</v>
      </c>
      <c r="E11" s="8">
        <f ca="1">INDIRECT(_xlfn.CONCAT("B",MATCH("*",$A$1:$A$34)))</f>
        <v>3</v>
      </c>
      <c r="F11" s="8">
        <f ca="1">IF(MATCH("*",$A$1:$A$34) &gt; ROW(), INDIRECT(_xlfn.CONCAT("C",MATCH("*",$A$1:$A$34))), INDIRECT(_xlfn.CONCAT("C",MATCH("*",$A$1:$A$34))) - 1)</f>
        <v>19</v>
      </c>
      <c r="G11" s="8">
        <f>IF(MATCH("*",$A$1:$A$34) &gt; ROW(), 2, 1)</f>
        <v>1</v>
      </c>
      <c r="H11" s="8" t="str">
        <f t="shared" ca="1" si="0"/>
        <v>10.3.19.1</v>
      </c>
      <c r="I11" t="str">
        <f ca="1">IF(MATCH("*",$A$1:$A$34) = ROW(),"#",_xlfn.CONCAT("ip route", " ", D11, " ", "255.255.255.0"," ", H11))</f>
        <v>ip route 172.3.10.0 255.255.255.0 10.3.19.1</v>
      </c>
    </row>
    <row r="12" spans="1:9" x14ac:dyDescent="0.2">
      <c r="B12" s="13">
        <v>3</v>
      </c>
      <c r="C12" s="7">
        <f>C11-1</f>
        <v>9</v>
      </c>
      <c r="D12" s="8" t="str">
        <f>_xlfn.CONCAT("172.",B12,".",C12,".0")</f>
        <v>172.3.9.0</v>
      </c>
      <c r="E12" s="8">
        <f ca="1">INDIRECT(_xlfn.CONCAT("B",MATCH("*",$A$1:$A$34)))</f>
        <v>3</v>
      </c>
      <c r="F12" s="8">
        <f ca="1">IF(MATCH("*",$A$1:$A$34) &gt; ROW(), INDIRECT(_xlfn.CONCAT("C",MATCH("*",$A$1:$A$34))), INDIRECT(_xlfn.CONCAT("C",MATCH("*",$A$1:$A$34))) - 1)</f>
        <v>19</v>
      </c>
      <c r="G12" s="8">
        <f>IF(MATCH("*",$A$1:$A$34) &gt; ROW(), 2, 1)</f>
        <v>1</v>
      </c>
      <c r="H12" s="8" t="str">
        <f t="shared" ca="1" si="0"/>
        <v>10.3.19.1</v>
      </c>
      <c r="I12" t="str">
        <f ca="1">IF(MATCH("*",$A$1:$A$34) = ROW(),"#",_xlfn.CONCAT("ip route", " ", D12, " ", "255.255.255.0"," ", H12))</f>
        <v>ip route 172.3.9.0 255.255.255.0 10.3.19.1</v>
      </c>
    </row>
    <row r="13" spans="1:9" x14ac:dyDescent="0.2">
      <c r="B13" s="13">
        <v>3</v>
      </c>
      <c r="C13" s="7">
        <f t="shared" si="1"/>
        <v>8</v>
      </c>
      <c r="D13" s="8" t="str">
        <f>_xlfn.CONCAT("172.",B13,".",C13,".0")</f>
        <v>172.3.8.0</v>
      </c>
      <c r="E13" s="8">
        <f ca="1">INDIRECT(_xlfn.CONCAT("B",MATCH("*",$A$1:$A$34)))</f>
        <v>3</v>
      </c>
      <c r="F13" s="8">
        <f ca="1">IF(MATCH("*",$A$1:$A$34) &gt; ROW(), INDIRECT(_xlfn.CONCAT("C",MATCH("*",$A$1:$A$34))), INDIRECT(_xlfn.CONCAT("C",MATCH("*",$A$1:$A$34))) - 1)</f>
        <v>19</v>
      </c>
      <c r="G13" s="8">
        <f>IF(MATCH("*",$A$1:$A$34) &gt; ROW(), 2, 1)</f>
        <v>1</v>
      </c>
      <c r="H13" s="8" t="str">
        <f t="shared" ca="1" si="0"/>
        <v>10.3.19.1</v>
      </c>
      <c r="I13" t="str">
        <f ca="1">IF(MATCH("*",$A$1:$A$34) = ROW(),"#",_xlfn.CONCAT("ip route", " ", D13, " ", "255.255.255.0"," ", H13))</f>
        <v>ip route 172.3.8.0 255.255.255.0 10.3.19.1</v>
      </c>
    </row>
    <row r="14" spans="1:9" x14ac:dyDescent="0.2">
      <c r="B14" s="13">
        <v>3</v>
      </c>
      <c r="C14" s="7">
        <f t="shared" si="1"/>
        <v>7</v>
      </c>
      <c r="D14" s="8" t="str">
        <f>_xlfn.CONCAT("172.",B14,".",C14,".0")</f>
        <v>172.3.7.0</v>
      </c>
      <c r="E14" s="8">
        <f ca="1">INDIRECT(_xlfn.CONCAT("B",MATCH("*",$A$1:$A$34)))</f>
        <v>3</v>
      </c>
      <c r="F14" s="8">
        <f ca="1">IF(MATCH("*",$A$1:$A$34) &gt; ROW(), INDIRECT(_xlfn.CONCAT("C",MATCH("*",$A$1:$A$34))), INDIRECT(_xlfn.CONCAT("C",MATCH("*",$A$1:$A$34))) - 1)</f>
        <v>19</v>
      </c>
      <c r="G14" s="8">
        <f>IF(MATCH("*",$A$1:$A$34) &gt; ROW(), 2, 1)</f>
        <v>1</v>
      </c>
      <c r="H14" s="8" t="str">
        <f t="shared" ca="1" si="0"/>
        <v>10.3.19.1</v>
      </c>
      <c r="I14" t="str">
        <f ca="1">IF(MATCH("*",$A$1:$A$34) = ROW(),"#",_xlfn.CONCAT("ip route", " ", D14, " ", "255.255.255.0"," ", H14))</f>
        <v>ip route 172.3.7.0 255.255.255.0 10.3.19.1</v>
      </c>
    </row>
    <row r="15" spans="1:9" x14ac:dyDescent="0.2">
      <c r="B15" s="13">
        <v>3</v>
      </c>
      <c r="C15" s="7">
        <f t="shared" si="1"/>
        <v>6</v>
      </c>
      <c r="D15" s="8" t="str">
        <f>_xlfn.CONCAT("172.",B15,".",C15,".0")</f>
        <v>172.3.6.0</v>
      </c>
      <c r="E15" s="8">
        <f ca="1">INDIRECT(_xlfn.CONCAT("B",MATCH("*",$A$1:$A$34)))</f>
        <v>3</v>
      </c>
      <c r="F15" s="8">
        <f ca="1">IF(MATCH("*",$A$1:$A$34) &gt; ROW(), INDIRECT(_xlfn.CONCAT("C",MATCH("*",$A$1:$A$34))), INDIRECT(_xlfn.CONCAT("C",MATCH("*",$A$1:$A$34))) - 1)</f>
        <v>19</v>
      </c>
      <c r="G15" s="8">
        <f>IF(MATCH("*",$A$1:$A$34) &gt; ROW(), 2, 1)</f>
        <v>1</v>
      </c>
      <c r="H15" s="8" t="str">
        <f t="shared" ca="1" si="0"/>
        <v>10.3.19.1</v>
      </c>
      <c r="I15" t="str">
        <f ca="1">IF(MATCH("*",$A$1:$A$34) = ROW(),"#",_xlfn.CONCAT("ip route", " ", D15, " ", "255.255.255.0"," ", H15))</f>
        <v>ip route 172.3.6.0 255.255.255.0 10.3.19.1</v>
      </c>
    </row>
    <row r="16" spans="1:9" x14ac:dyDescent="0.2">
      <c r="B16" s="13">
        <v>3</v>
      </c>
      <c r="C16" s="7">
        <f t="shared" si="1"/>
        <v>5</v>
      </c>
      <c r="D16" s="8" t="str">
        <f>_xlfn.CONCAT("172.",B16,".",C16,".0")</f>
        <v>172.3.5.0</v>
      </c>
      <c r="E16" s="8">
        <f ca="1">INDIRECT(_xlfn.CONCAT("B",MATCH("*",$A$1:$A$34)))</f>
        <v>3</v>
      </c>
      <c r="F16" s="8">
        <f ca="1">IF(MATCH("*",$A$1:$A$34) &gt; ROW(), INDIRECT(_xlfn.CONCAT("C",MATCH("*",$A$1:$A$34))), INDIRECT(_xlfn.CONCAT("C",MATCH("*",$A$1:$A$34))) - 1)</f>
        <v>19</v>
      </c>
      <c r="G16" s="8">
        <f>IF(MATCH("*",$A$1:$A$34) &gt; ROW(), 2, 1)</f>
        <v>1</v>
      </c>
      <c r="H16" s="8" t="str">
        <f t="shared" ca="1" si="0"/>
        <v>10.3.19.1</v>
      </c>
      <c r="I16" t="str">
        <f ca="1">IF(MATCH("*",$A$1:$A$34) = ROW(),"#",_xlfn.CONCAT("ip route", " ", D16, " ", "255.255.255.0"," ", H16))</f>
        <v>ip route 172.3.5.0 255.255.255.0 10.3.19.1</v>
      </c>
    </row>
    <row r="17" spans="2:9" x14ac:dyDescent="0.2">
      <c r="B17" s="13">
        <v>3</v>
      </c>
      <c r="C17" s="7">
        <f t="shared" si="1"/>
        <v>4</v>
      </c>
      <c r="D17" s="8" t="str">
        <f>_xlfn.CONCAT("172.",B17,".",C17,".0")</f>
        <v>172.3.4.0</v>
      </c>
      <c r="E17" s="8">
        <f ca="1">INDIRECT(_xlfn.CONCAT("B",MATCH("*",$A$1:$A$34)))</f>
        <v>3</v>
      </c>
      <c r="F17" s="8">
        <f ca="1">IF(MATCH("*",$A$1:$A$34) &gt; ROW(), INDIRECT(_xlfn.CONCAT("C",MATCH("*",$A$1:$A$34))), INDIRECT(_xlfn.CONCAT("C",MATCH("*",$A$1:$A$34))) - 1)</f>
        <v>19</v>
      </c>
      <c r="G17" s="8">
        <f>IF(MATCH("*",$A$1:$A$34) &gt; ROW(), 2, 1)</f>
        <v>1</v>
      </c>
      <c r="H17" s="8" t="str">
        <f t="shared" ca="1" si="0"/>
        <v>10.3.19.1</v>
      </c>
      <c r="I17" t="str">
        <f ca="1">IF(MATCH("*",$A$1:$A$34) = ROW(),"#",_xlfn.CONCAT("ip route", " ", D17, " ", "255.255.255.0"," ", H17))</f>
        <v>ip route 172.3.4.0 255.255.255.0 10.3.19.1</v>
      </c>
    </row>
    <row r="18" spans="2:9" x14ac:dyDescent="0.2">
      <c r="B18" s="13">
        <v>3</v>
      </c>
      <c r="C18" s="7">
        <f t="shared" si="1"/>
        <v>3</v>
      </c>
      <c r="D18" s="8" t="str">
        <f>_xlfn.CONCAT("172.",B18,".",C18,".0")</f>
        <v>172.3.3.0</v>
      </c>
      <c r="E18" s="8">
        <f ca="1">INDIRECT(_xlfn.CONCAT("B",MATCH("*",$A$1:$A$34)))</f>
        <v>3</v>
      </c>
      <c r="F18" s="8">
        <f ca="1">IF(MATCH("*",$A$1:$A$34) &gt; ROW(), INDIRECT(_xlfn.CONCAT("C",MATCH("*",$A$1:$A$34))), INDIRECT(_xlfn.CONCAT("C",MATCH("*",$A$1:$A$34))) - 1)</f>
        <v>19</v>
      </c>
      <c r="G18" s="8">
        <f>IF(MATCH("*",$A$1:$A$34) &gt; ROW(), 2, 1)</f>
        <v>1</v>
      </c>
      <c r="H18" s="8" t="str">
        <f t="shared" ca="1" si="0"/>
        <v>10.3.19.1</v>
      </c>
      <c r="I18" t="str">
        <f ca="1">IF(MATCH("*",$A$1:$A$34) = ROW(),"#",_xlfn.CONCAT("ip route", " ", D18, " ", "255.255.255.0"," ", H18))</f>
        <v>ip route 172.3.3.0 255.255.255.0 10.3.19.1</v>
      </c>
    </row>
    <row r="19" spans="2:9" x14ac:dyDescent="0.2">
      <c r="B19" s="13">
        <v>3</v>
      </c>
      <c r="C19" s="7">
        <f t="shared" si="1"/>
        <v>2</v>
      </c>
      <c r="D19" s="8" t="str">
        <f>_xlfn.CONCAT("172.",B19,".",C19,".0")</f>
        <v>172.3.2.0</v>
      </c>
      <c r="E19" s="8">
        <f ca="1">INDIRECT(_xlfn.CONCAT("B",MATCH("*",$A$1:$A$34)))</f>
        <v>3</v>
      </c>
      <c r="F19" s="8">
        <f ca="1">IF(MATCH("*",$A$1:$A$34) &gt; ROW(), INDIRECT(_xlfn.CONCAT("C",MATCH("*",$A$1:$A$34))), INDIRECT(_xlfn.CONCAT("C",MATCH("*",$A$1:$A$34))) - 1)</f>
        <v>19</v>
      </c>
      <c r="G19" s="8">
        <f>IF(MATCH("*",$A$1:$A$34) &gt; ROW(), 2, 1)</f>
        <v>1</v>
      </c>
      <c r="H19" s="8" t="str">
        <f t="shared" ca="1" si="0"/>
        <v>10.3.19.1</v>
      </c>
      <c r="I19" t="str">
        <f ca="1">IF(MATCH("*",$A$1:$A$34) = ROW(),"#",_xlfn.CONCAT("ip route", " ", D19, " ", "255.255.255.0"," ", H19))</f>
        <v>ip route 172.3.2.0 255.255.255.0 10.3.19.1</v>
      </c>
    </row>
    <row r="20" spans="2:9" x14ac:dyDescent="0.2">
      <c r="B20" s="13">
        <v>3</v>
      </c>
      <c r="C20" s="7">
        <f t="shared" si="1"/>
        <v>1</v>
      </c>
      <c r="D20" s="8" t="str">
        <f>_xlfn.CONCAT("172.",B20,".",C20,".0")</f>
        <v>172.3.1.0</v>
      </c>
      <c r="E20" s="8">
        <f ca="1">INDIRECT(_xlfn.CONCAT("B",MATCH("*",$A$1:$A$34)))</f>
        <v>3</v>
      </c>
      <c r="F20" s="8">
        <f ca="1">IF(MATCH("*",$A$1:$A$34) &gt; ROW(), INDIRECT(_xlfn.CONCAT("C",MATCH("*",$A$1:$A$34))), INDIRECT(_xlfn.CONCAT("C",MATCH("*",$A$1:$A$34))) - 1)</f>
        <v>19</v>
      </c>
      <c r="G20" s="8">
        <f>IF(MATCH("*",$A$1:$A$34) &gt; ROW(), 2, 1)</f>
        <v>1</v>
      </c>
      <c r="H20" s="8" t="str">
        <f t="shared" ca="1" si="0"/>
        <v>10.3.19.1</v>
      </c>
      <c r="I20" t="str">
        <f ca="1">IF(MATCH("*",$A$1:$A$34) = ROW(),"#",_xlfn.CONCAT("ip route", " ", D20, " ", "255.255.255.0"," ", H20))</f>
        <v>ip route 172.3.1.0 255.255.255.0 10.3.19.1</v>
      </c>
    </row>
    <row r="21" spans="2:9" x14ac:dyDescent="0.2">
      <c r="B21" s="13">
        <v>3</v>
      </c>
      <c r="C21" s="7">
        <f t="shared" si="1"/>
        <v>0</v>
      </c>
      <c r="D21" s="8" t="str">
        <f>_xlfn.CONCAT("172.",B21,".",C21,".0")</f>
        <v>172.3.0.0</v>
      </c>
      <c r="E21" s="8">
        <f ca="1">INDIRECT(_xlfn.CONCAT("B",MATCH("*",$A$1:$A$34)))</f>
        <v>3</v>
      </c>
      <c r="F21" s="8">
        <f ca="1">IF(MATCH("*",$A$1:$A$34) &gt; ROW(), INDIRECT(_xlfn.CONCAT("C",MATCH("*",$A$1:$A$34))), INDIRECT(_xlfn.CONCAT("C",MATCH("*",$A$1:$A$34))) - 1)</f>
        <v>19</v>
      </c>
      <c r="G21" s="8">
        <f>IF(MATCH("*",$A$1:$A$34) &gt; ROW(), 2, 1)</f>
        <v>1</v>
      </c>
      <c r="H21" s="8" t="str">
        <f t="shared" ca="1" si="0"/>
        <v>10.3.19.1</v>
      </c>
      <c r="I21" t="str">
        <f ca="1">IF(MATCH("*",$A$1:$A$34) = ROW(),"#",_xlfn.CONCAT("ip route", " ", D21, " ", "255.255.255.0"," ", H21))</f>
        <v>ip route 172.3.0.0 255.255.255.0 10.3.19.1</v>
      </c>
    </row>
    <row r="22" spans="2:9" x14ac:dyDescent="0.2">
      <c r="B22" s="11">
        <v>1</v>
      </c>
      <c r="C22" s="7">
        <v>5</v>
      </c>
      <c r="D22" s="8" t="str">
        <f>_xlfn.CONCAT("172.",B22,".",C22,".0")</f>
        <v>172.1.5.0</v>
      </c>
      <c r="E22" s="8">
        <f ca="1">INDIRECT(_xlfn.CONCAT("B",MATCH("*",$A$1:$A$34)))</f>
        <v>3</v>
      </c>
      <c r="F22" s="8">
        <f ca="1">IF(MATCH("*",$A$1:$A$34) &gt; ROW(), INDIRECT(_xlfn.CONCAT("C",MATCH("*",$A$1:$A$34))), INDIRECT(_xlfn.CONCAT("C",MATCH("*",$A$1:$A$34))) - 1)</f>
        <v>19</v>
      </c>
      <c r="G22" s="8">
        <f>IF(MATCH("*",$A$1:$A$34) &gt; ROW(), 2, 1)</f>
        <v>1</v>
      </c>
      <c r="H22" s="8" t="str">
        <f t="shared" ca="1" si="0"/>
        <v>10.3.19.1</v>
      </c>
      <c r="I22" t="str">
        <f ca="1">IF(MATCH("*",$A$1:$A$34) = ROW(),"#",_xlfn.CONCAT("ip route", " ", D22, " ", "255.255.255.0"," ", H22))</f>
        <v>ip route 172.1.5.0 255.255.255.0 10.3.19.1</v>
      </c>
    </row>
    <row r="23" spans="2:9" x14ac:dyDescent="0.2">
      <c r="B23" s="11">
        <v>1</v>
      </c>
      <c r="C23" s="7">
        <f>C22-1</f>
        <v>4</v>
      </c>
      <c r="D23" s="8" t="str">
        <f t="shared" ref="D23:D34" si="2">_xlfn.CONCAT("172.",B23,".",C23,".0")</f>
        <v>172.1.4.0</v>
      </c>
      <c r="E23" s="8">
        <f ca="1">INDIRECT(_xlfn.CONCAT("B",MATCH("*",$A$1:$A$34)))</f>
        <v>3</v>
      </c>
      <c r="F23" s="8">
        <f ca="1">IF(MATCH("*",$A$1:$A$34) &gt; ROW(), INDIRECT(_xlfn.CONCAT("C",MATCH("*",$A$1:$A$34))), INDIRECT(_xlfn.CONCAT("C",MATCH("*",$A$1:$A$34))) - 1)</f>
        <v>19</v>
      </c>
      <c r="G23" s="8">
        <f>IF(MATCH("*",$A$1:$A$34) &gt; ROW(), 2, 1)</f>
        <v>1</v>
      </c>
      <c r="H23" s="8" t="str">
        <f t="shared" ca="1" si="0"/>
        <v>10.3.19.1</v>
      </c>
      <c r="I23" t="str">
        <f ca="1">IF(MATCH("*",$A$1:$A$34) = ROW(),"#",_xlfn.CONCAT("ip route", " ", D23, " ", "255.255.255.0"," ", H23))</f>
        <v>ip route 172.1.4.0 255.255.255.0 10.3.19.1</v>
      </c>
    </row>
    <row r="24" spans="2:9" x14ac:dyDescent="0.2">
      <c r="B24" s="11">
        <v>1</v>
      </c>
      <c r="C24" s="7">
        <f t="shared" ref="C24:C27" si="3">C23-1</f>
        <v>3</v>
      </c>
      <c r="D24" s="8" t="str">
        <f t="shared" si="2"/>
        <v>172.1.3.0</v>
      </c>
      <c r="E24" s="8">
        <f ca="1">INDIRECT(_xlfn.CONCAT("B",MATCH("*",$A$1:$A$34)))</f>
        <v>3</v>
      </c>
      <c r="F24" s="8">
        <f ca="1">IF(MATCH("*",$A$1:$A$34) &gt; ROW(), INDIRECT(_xlfn.CONCAT("C",MATCH("*",$A$1:$A$34))), INDIRECT(_xlfn.CONCAT("C",MATCH("*",$A$1:$A$34))) - 1)</f>
        <v>19</v>
      </c>
      <c r="G24" s="8">
        <f>IF(MATCH("*",$A$1:$A$34) &gt; ROW(), 2, 1)</f>
        <v>1</v>
      </c>
      <c r="H24" s="8" t="str">
        <f t="shared" ca="1" si="0"/>
        <v>10.3.19.1</v>
      </c>
      <c r="I24" t="str">
        <f ca="1">IF(MATCH("*",$A$1:$A$34) = ROW(),"#",_xlfn.CONCAT("ip route", " ", D24, " ", "255.255.255.0"," ", H24))</f>
        <v>ip route 172.1.3.0 255.255.255.0 10.3.19.1</v>
      </c>
    </row>
    <row r="25" spans="2:9" x14ac:dyDescent="0.2">
      <c r="B25" s="11">
        <v>1</v>
      </c>
      <c r="C25" s="7">
        <f t="shared" si="3"/>
        <v>2</v>
      </c>
      <c r="D25" s="8" t="str">
        <f t="shared" si="2"/>
        <v>172.1.2.0</v>
      </c>
      <c r="E25" s="8">
        <f ca="1">INDIRECT(_xlfn.CONCAT("B",MATCH("*",$A$1:$A$34)))</f>
        <v>3</v>
      </c>
      <c r="F25" s="8">
        <f ca="1">IF(MATCH("*",$A$1:$A$34) &gt; ROW(), INDIRECT(_xlfn.CONCAT("C",MATCH("*",$A$1:$A$34))), INDIRECT(_xlfn.CONCAT("C",MATCH("*",$A$1:$A$34))) - 1)</f>
        <v>19</v>
      </c>
      <c r="G25" s="8">
        <f>IF(MATCH("*",$A$1:$A$34) &gt; ROW(), 2, 1)</f>
        <v>1</v>
      </c>
      <c r="H25" s="8" t="str">
        <f t="shared" ca="1" si="0"/>
        <v>10.3.19.1</v>
      </c>
      <c r="I25" t="str">
        <f ca="1">IF(MATCH("*",$A$1:$A$34) = ROW(),"#",_xlfn.CONCAT("ip route", " ", D25, " ", "255.255.255.0"," ", H25))</f>
        <v>ip route 172.1.2.0 255.255.255.0 10.3.19.1</v>
      </c>
    </row>
    <row r="26" spans="2:9" x14ac:dyDescent="0.2">
      <c r="B26" s="11">
        <v>1</v>
      </c>
      <c r="C26" s="7">
        <f t="shared" si="3"/>
        <v>1</v>
      </c>
      <c r="D26" s="8" t="str">
        <f t="shared" si="2"/>
        <v>172.1.1.0</v>
      </c>
      <c r="E26" s="8">
        <f ca="1">INDIRECT(_xlfn.CONCAT("B",MATCH("*",$A$1:$A$34)))</f>
        <v>3</v>
      </c>
      <c r="F26" s="8">
        <f ca="1">IF(MATCH("*",$A$1:$A$34) &gt; ROW(), INDIRECT(_xlfn.CONCAT("C",MATCH("*",$A$1:$A$34))), INDIRECT(_xlfn.CONCAT("C",MATCH("*",$A$1:$A$34))) - 1)</f>
        <v>19</v>
      </c>
      <c r="G26" s="8">
        <f>IF(MATCH("*",$A$1:$A$34) &gt; ROW(), 2, 1)</f>
        <v>1</v>
      </c>
      <c r="H26" s="8" t="str">
        <f t="shared" ca="1" si="0"/>
        <v>10.3.19.1</v>
      </c>
      <c r="I26" t="str">
        <f ca="1">IF(MATCH("*",$A$1:$A$34) = ROW(),"#",_xlfn.CONCAT("ip route", " ", D26, " ", "255.255.255.0"," ", H26))</f>
        <v>ip route 172.1.1.0 255.255.255.0 10.3.19.1</v>
      </c>
    </row>
    <row r="27" spans="2:9" x14ac:dyDescent="0.2">
      <c r="B27" s="11">
        <v>1</v>
      </c>
      <c r="C27" s="7">
        <f t="shared" si="3"/>
        <v>0</v>
      </c>
      <c r="D27" s="8" t="str">
        <f t="shared" si="2"/>
        <v>172.1.0.0</v>
      </c>
      <c r="E27" s="8">
        <f ca="1">INDIRECT(_xlfn.CONCAT("B",MATCH("*",$A$1:$A$34)))</f>
        <v>3</v>
      </c>
      <c r="F27" s="8">
        <f ca="1">IF(MATCH("*",$A$1:$A$34) &gt; ROW(), INDIRECT(_xlfn.CONCAT("C",MATCH("*",$A$1:$A$34))), INDIRECT(_xlfn.CONCAT("C",MATCH("*",$A$1:$A$34))) - 1)</f>
        <v>19</v>
      </c>
      <c r="G27" s="8">
        <f>IF(MATCH("*",$A$1:$A$34) &gt; ROW(), 2, 1)</f>
        <v>1</v>
      </c>
      <c r="H27" s="8" t="str">
        <f t="shared" ca="1" si="0"/>
        <v>10.3.19.1</v>
      </c>
      <c r="I27" t="str">
        <f ca="1">IF(MATCH("*",$A$1:$A$34) = ROW(),"#",_xlfn.CONCAT("ip route", " ", D27, " ", "255.255.255.0"," ", H27))</f>
        <v>ip route 172.1.0.0 255.255.255.0 10.3.19.1</v>
      </c>
    </row>
    <row r="28" spans="2:9" x14ac:dyDescent="0.2">
      <c r="B28" s="12">
        <v>2</v>
      </c>
      <c r="C28" s="7">
        <v>6</v>
      </c>
      <c r="D28" s="8" t="str">
        <f t="shared" si="2"/>
        <v>172.2.6.0</v>
      </c>
      <c r="E28" s="8">
        <f ca="1">INDIRECT(_xlfn.CONCAT("B",MATCH("*",$A$1:$A$34)))</f>
        <v>3</v>
      </c>
      <c r="F28" s="8">
        <f ca="1">IF(MATCH("*",$A$1:$A$34) &gt; ROW(), INDIRECT(_xlfn.CONCAT("C",MATCH("*",$A$1:$A$34))), INDIRECT(_xlfn.CONCAT("C",MATCH("*",$A$1:$A$34))) - 1)</f>
        <v>19</v>
      </c>
      <c r="G28" s="8">
        <f>IF(MATCH("*",$A$1:$A$34) &gt; ROW(), 2, 1)</f>
        <v>1</v>
      </c>
      <c r="H28" s="8" t="str">
        <f t="shared" ca="1" si="0"/>
        <v>10.3.19.1</v>
      </c>
      <c r="I28" t="str">
        <f ca="1">IF(MATCH("*",$A$1:$A$34) = ROW(),"#",_xlfn.CONCAT("ip route", " ", D28, " ", "255.255.255.0"," ", H28))</f>
        <v>ip route 172.2.6.0 255.255.255.0 10.3.19.1</v>
      </c>
    </row>
    <row r="29" spans="2:9" x14ac:dyDescent="0.2">
      <c r="B29" s="12">
        <v>2</v>
      </c>
      <c r="C29" s="7">
        <f>C28-1</f>
        <v>5</v>
      </c>
      <c r="D29" s="8" t="str">
        <f t="shared" si="2"/>
        <v>172.2.5.0</v>
      </c>
      <c r="E29" s="8">
        <f ca="1">INDIRECT(_xlfn.CONCAT("B",MATCH("*",$A$1:$A$34)))</f>
        <v>3</v>
      </c>
      <c r="F29" s="8">
        <f ca="1">IF(MATCH("*",$A$1:$A$34) &gt; ROW(), INDIRECT(_xlfn.CONCAT("C",MATCH("*",$A$1:$A$34))), INDIRECT(_xlfn.CONCAT("C",MATCH("*",$A$1:$A$34))) - 1)</f>
        <v>19</v>
      </c>
      <c r="G29" s="8">
        <f>IF(MATCH("*",$A$1:$A$34) &gt; ROW(), 2, 1)</f>
        <v>1</v>
      </c>
      <c r="H29" s="8" t="str">
        <f t="shared" ca="1" si="0"/>
        <v>10.3.19.1</v>
      </c>
      <c r="I29" t="str">
        <f ca="1">IF(MATCH("*",$A$1:$A$34) = ROW(),"#",_xlfn.CONCAT("ip route", " ", D29, " ", "255.255.255.0"," ", H29))</f>
        <v>ip route 172.2.5.0 255.255.255.0 10.3.19.1</v>
      </c>
    </row>
    <row r="30" spans="2:9" x14ac:dyDescent="0.2">
      <c r="B30" s="12">
        <v>2</v>
      </c>
      <c r="C30" s="7">
        <f t="shared" ref="C30:C34" si="4">C29-1</f>
        <v>4</v>
      </c>
      <c r="D30" s="8" t="str">
        <f t="shared" si="2"/>
        <v>172.2.4.0</v>
      </c>
      <c r="E30" s="8">
        <f ca="1">INDIRECT(_xlfn.CONCAT("B",MATCH("*",$A$1:$A$34)))</f>
        <v>3</v>
      </c>
      <c r="F30" s="8">
        <f ca="1">IF(MATCH("*",$A$1:$A$34) &gt; ROW(), INDIRECT(_xlfn.CONCAT("C",MATCH("*",$A$1:$A$34))), INDIRECT(_xlfn.CONCAT("C",MATCH("*",$A$1:$A$34))) - 1)</f>
        <v>19</v>
      </c>
      <c r="G30" s="8">
        <f>IF(MATCH("*",$A$1:$A$34) &gt; ROW(), 2, 1)</f>
        <v>1</v>
      </c>
      <c r="H30" s="8" t="str">
        <f t="shared" ca="1" si="0"/>
        <v>10.3.19.1</v>
      </c>
      <c r="I30" t="str">
        <f ca="1">IF(MATCH("*",$A$1:$A$34) = ROW(),"#",_xlfn.CONCAT("ip route", " ", D30, " ", "255.255.255.0"," ", H30))</f>
        <v>ip route 172.2.4.0 255.255.255.0 10.3.19.1</v>
      </c>
    </row>
    <row r="31" spans="2:9" x14ac:dyDescent="0.2">
      <c r="B31" s="12">
        <v>2</v>
      </c>
      <c r="C31" s="7">
        <f t="shared" si="4"/>
        <v>3</v>
      </c>
      <c r="D31" s="8" t="str">
        <f t="shared" si="2"/>
        <v>172.2.3.0</v>
      </c>
      <c r="E31" s="8">
        <f ca="1">INDIRECT(_xlfn.CONCAT("B",MATCH("*",$A$1:$A$34)))</f>
        <v>3</v>
      </c>
      <c r="F31" s="8">
        <f ca="1">IF(MATCH("*",$A$1:$A$34) &gt; ROW(), INDIRECT(_xlfn.CONCAT("C",MATCH("*",$A$1:$A$34))), INDIRECT(_xlfn.CONCAT("C",MATCH("*",$A$1:$A$34))) - 1)</f>
        <v>19</v>
      </c>
      <c r="G31" s="8">
        <f>IF(MATCH("*",$A$1:$A$34) &gt; ROW(), 2, 1)</f>
        <v>1</v>
      </c>
      <c r="H31" s="8" t="str">
        <f t="shared" ca="1" si="0"/>
        <v>10.3.19.1</v>
      </c>
      <c r="I31" t="str">
        <f ca="1">IF(MATCH("*",$A$1:$A$34) = ROW(),"#",_xlfn.CONCAT("ip route", " ", D31, " ", "255.255.255.0"," ", H31))</f>
        <v>ip route 172.2.3.0 255.255.255.0 10.3.19.1</v>
      </c>
    </row>
    <row r="32" spans="2:9" x14ac:dyDescent="0.2">
      <c r="B32" s="12">
        <v>2</v>
      </c>
      <c r="C32" s="7">
        <f t="shared" si="4"/>
        <v>2</v>
      </c>
      <c r="D32" s="8" t="str">
        <f t="shared" si="2"/>
        <v>172.2.2.0</v>
      </c>
      <c r="E32" s="8">
        <f ca="1">INDIRECT(_xlfn.CONCAT("B",MATCH("*",$A$1:$A$34)))</f>
        <v>3</v>
      </c>
      <c r="F32" s="8">
        <f ca="1">IF(MATCH("*",$A$1:$A$34) &gt; ROW(), INDIRECT(_xlfn.CONCAT("C",MATCH("*",$A$1:$A$34))), INDIRECT(_xlfn.CONCAT("C",MATCH("*",$A$1:$A$34))) - 1)</f>
        <v>19</v>
      </c>
      <c r="G32" s="8">
        <f>IF(MATCH("*",$A$1:$A$34) &gt; ROW(), 2, 1)</f>
        <v>1</v>
      </c>
      <c r="H32" s="8" t="str">
        <f t="shared" ca="1" si="0"/>
        <v>10.3.19.1</v>
      </c>
      <c r="I32" t="str">
        <f ca="1">IF(MATCH("*",$A$1:$A$34) = ROW(),"#",_xlfn.CONCAT("ip route", " ", D32, " ", "255.255.255.0"," ", H32))</f>
        <v>ip route 172.2.2.0 255.255.255.0 10.3.19.1</v>
      </c>
    </row>
    <row r="33" spans="2:9" x14ac:dyDescent="0.2">
      <c r="B33" s="12">
        <v>2</v>
      </c>
      <c r="C33" s="7">
        <f t="shared" si="4"/>
        <v>1</v>
      </c>
      <c r="D33" s="8" t="str">
        <f t="shared" si="2"/>
        <v>172.2.1.0</v>
      </c>
      <c r="E33" s="8">
        <f ca="1">INDIRECT(_xlfn.CONCAT("B",MATCH("*",$A$1:$A$34)))</f>
        <v>3</v>
      </c>
      <c r="F33" s="8">
        <f ca="1">IF(MATCH("*",$A$1:$A$34) &gt; ROW(), INDIRECT(_xlfn.CONCAT("C",MATCH("*",$A$1:$A$34))), INDIRECT(_xlfn.CONCAT("C",MATCH("*",$A$1:$A$34))) - 1)</f>
        <v>19</v>
      </c>
      <c r="G33" s="8">
        <f>IF(MATCH("*",$A$1:$A$34) &gt; ROW(), 2, 1)</f>
        <v>1</v>
      </c>
      <c r="H33" s="8" t="str">
        <f t="shared" ca="1" si="0"/>
        <v>10.3.19.1</v>
      </c>
      <c r="I33" t="str">
        <f ca="1">IF(MATCH("*",$A$1:$A$34) = ROW(),"#",_xlfn.CONCAT("ip route", " ", D33, " ", "255.255.255.0"," ", H33))</f>
        <v>ip route 172.2.1.0 255.255.255.0 10.3.19.1</v>
      </c>
    </row>
    <row r="34" spans="2:9" x14ac:dyDescent="0.2">
      <c r="B34" s="12">
        <v>2</v>
      </c>
      <c r="C34" s="7">
        <f t="shared" si="4"/>
        <v>0</v>
      </c>
      <c r="D34" s="8" t="str">
        <f t="shared" si="2"/>
        <v>172.2.0.0</v>
      </c>
      <c r="E34" s="8">
        <f ca="1">INDIRECT(_xlfn.CONCAT("B",MATCH("*",$A$1:$A$34)))</f>
        <v>3</v>
      </c>
      <c r="F34" s="8">
        <f ca="1">IF(MATCH("*",$A$1:$A$34) &gt; ROW(), INDIRECT(_xlfn.CONCAT("C",MATCH("*",$A$1:$A$34))), INDIRECT(_xlfn.CONCAT("C",MATCH("*",$A$1:$A$34))) - 1)</f>
        <v>19</v>
      </c>
      <c r="G34" s="8">
        <f>IF(MATCH("*",$A$1:$A$34) &gt; ROW(), 2, 1)</f>
        <v>1</v>
      </c>
      <c r="H34" s="8" t="str">
        <f t="shared" ca="1" si="0"/>
        <v>10.3.19.1</v>
      </c>
      <c r="I34" t="str">
        <f ca="1">IF(MATCH("*",$A$1:$A$34) = ROW(),"#",_xlfn.CONCAT("ip route", " ", D34, " ", "255.255.255.0"," ", H34))</f>
        <v>ip route 172.2.0.0 255.255.255.0 10.3.19.1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ipv4</vt:lpstr>
      <vt:lpstr>ipv6</vt:lpstr>
      <vt:lpstr>Enrutamiento4E1</vt:lpstr>
      <vt:lpstr>Enrutamiento4E3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Microsoft Office User</cp:lastModifiedBy>
  <dcterms:created xsi:type="dcterms:W3CDTF">2019-10-18T00:01:54Z</dcterms:created>
  <dcterms:modified xsi:type="dcterms:W3CDTF">2019-10-30T21:33:34Z</dcterms:modified>
</cp:coreProperties>
</file>