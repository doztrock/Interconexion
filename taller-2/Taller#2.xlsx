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botero/Projects/interconexion/taller-2/"/>
    </mc:Choice>
  </mc:AlternateContent>
  <xr:revisionPtr revIDLastSave="0" documentId="13_ncr:1_{D3CE08B3-93FD-B442-86BF-C2E71CC4758A}" xr6:coauthVersionLast="45" xr6:coauthVersionMax="45" xr10:uidLastSave="{00000000-0000-0000-0000-000000000000}"/>
  <bookViews>
    <workbookView xWindow="0" yWindow="0" windowWidth="25600" windowHeight="16000" activeTab="1" xr2:uid="{00000000-000D-0000-FFFF-FFFF00000000}"/>
  </bookViews>
  <sheets>
    <sheet name="ipv4" sheetId="1" r:id="rId1"/>
    <sheet name="ipv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2" l="1"/>
  <c r="Y5" i="2"/>
  <c r="AA5" i="2"/>
  <c r="X6" i="2"/>
  <c r="Y6" i="2"/>
  <c r="AA6" i="2"/>
  <c r="X7" i="2"/>
  <c r="Y7" i="2"/>
  <c r="AA7" i="2"/>
  <c r="X8" i="2"/>
  <c r="Y8" i="2"/>
  <c r="AA8" i="2"/>
  <c r="X9" i="2"/>
  <c r="Y9" i="2"/>
  <c r="AA9" i="2"/>
  <c r="X10" i="2"/>
  <c r="Y10" i="2"/>
  <c r="AA10" i="2"/>
  <c r="X11" i="2"/>
  <c r="Y11" i="2"/>
  <c r="AA11" i="2"/>
  <c r="X12" i="2"/>
  <c r="Y12" i="2"/>
  <c r="AA12" i="2"/>
  <c r="X13" i="2"/>
  <c r="Y13" i="2"/>
  <c r="AA13" i="2"/>
  <c r="X14" i="2"/>
  <c r="Y14" i="2"/>
  <c r="AA14" i="2"/>
  <c r="X15" i="2"/>
  <c r="Y15" i="2"/>
  <c r="AA15" i="2"/>
  <c r="X16" i="2"/>
  <c r="Y16" i="2"/>
  <c r="AA16" i="2"/>
  <c r="X17" i="2"/>
  <c r="Y17" i="2"/>
  <c r="AA17" i="2"/>
  <c r="X18" i="2"/>
  <c r="Y18" i="2"/>
  <c r="AA18" i="2"/>
  <c r="X19" i="2"/>
  <c r="Y19" i="2"/>
  <c r="AA19" i="2"/>
  <c r="X20" i="2"/>
  <c r="Y20" i="2"/>
  <c r="AA20" i="2"/>
  <c r="X21" i="2"/>
  <c r="Y21" i="2"/>
  <c r="AA21" i="2"/>
  <c r="X22" i="2"/>
  <c r="Y22" i="2"/>
  <c r="AA22" i="2"/>
  <c r="X23" i="2"/>
  <c r="Y23" i="2"/>
  <c r="AA23" i="2"/>
  <c r="X24" i="2"/>
  <c r="Y24" i="2"/>
  <c r="AA24" i="2"/>
  <c r="X25" i="2"/>
  <c r="Y25" i="2"/>
  <c r="AA25" i="2"/>
  <c r="X26" i="2"/>
  <c r="Y26" i="2"/>
  <c r="AA26" i="2"/>
  <c r="X27" i="2"/>
  <c r="Y27" i="2"/>
  <c r="AA27" i="2"/>
  <c r="X28" i="2"/>
  <c r="Y28" i="2"/>
  <c r="AA28" i="2"/>
  <c r="X29" i="2"/>
  <c r="Y29" i="2"/>
  <c r="AA29" i="2"/>
  <c r="X30" i="2"/>
  <c r="Y30" i="2"/>
  <c r="AA30" i="2"/>
  <c r="X31" i="2"/>
  <c r="Y31" i="2"/>
  <c r="AA31" i="2"/>
  <c r="X32" i="2"/>
  <c r="Y32" i="2"/>
  <c r="AA32" i="2"/>
  <c r="X33" i="2"/>
  <c r="Y33" i="2"/>
  <c r="AA33" i="2"/>
  <c r="X34" i="2"/>
  <c r="Y34" i="2"/>
  <c r="AA34" i="2"/>
  <c r="X35" i="2"/>
  <c r="Y35" i="2"/>
  <c r="AA35" i="2"/>
  <c r="X36" i="2"/>
  <c r="Y36" i="2"/>
  <c r="AA36" i="2"/>
  <c r="X37" i="2"/>
  <c r="Y37" i="2"/>
  <c r="AA37" i="2"/>
  <c r="X38" i="2"/>
  <c r="Y38" i="2"/>
  <c r="AA38" i="2"/>
  <c r="X39" i="2"/>
  <c r="Y39" i="2"/>
  <c r="AA39" i="2"/>
  <c r="X40" i="2"/>
  <c r="Y40" i="2"/>
  <c r="AA40" i="2"/>
  <c r="X41" i="2"/>
  <c r="Y41" i="2"/>
  <c r="AA41" i="2"/>
  <c r="X42" i="2"/>
  <c r="Y42" i="2"/>
  <c r="AA42" i="2"/>
  <c r="X43" i="2"/>
  <c r="Y43" i="2"/>
  <c r="AA43" i="2"/>
  <c r="X44" i="2"/>
  <c r="Y44" i="2"/>
  <c r="AA44" i="2"/>
  <c r="X45" i="2"/>
  <c r="Y45" i="2"/>
  <c r="AA45" i="2"/>
  <c r="X46" i="2"/>
  <c r="Y46" i="2"/>
  <c r="AA46" i="2"/>
  <c r="X47" i="2"/>
  <c r="Y47" i="2"/>
  <c r="AA47" i="2"/>
  <c r="X48" i="2"/>
  <c r="Y48" i="2"/>
  <c r="AA48" i="2"/>
  <c r="X49" i="2"/>
  <c r="Y49" i="2"/>
  <c r="AA49" i="2"/>
  <c r="X50" i="2"/>
  <c r="Y50" i="2"/>
  <c r="AA50" i="2"/>
  <c r="X51" i="2"/>
  <c r="Y51" i="2"/>
  <c r="AA51" i="2"/>
  <c r="X52" i="2"/>
  <c r="Y52" i="2"/>
  <c r="AA52" i="2"/>
  <c r="X53" i="2"/>
  <c r="Y53" i="2"/>
  <c r="AA53" i="2"/>
  <c r="X54" i="2"/>
  <c r="Y54" i="2"/>
  <c r="AA54" i="2"/>
  <c r="X55" i="2"/>
  <c r="Y55" i="2"/>
  <c r="AA55" i="2"/>
  <c r="X56" i="2"/>
  <c r="Y56" i="2"/>
  <c r="AA56" i="2"/>
  <c r="X57" i="2"/>
  <c r="Y57" i="2"/>
  <c r="AA57" i="2"/>
  <c r="X58" i="2"/>
  <c r="Y58" i="2"/>
  <c r="AA58" i="2"/>
  <c r="X59" i="2"/>
  <c r="Y59" i="2"/>
  <c r="AA59" i="2"/>
  <c r="X60" i="2"/>
  <c r="Y60" i="2"/>
  <c r="AA60" i="2"/>
  <c r="X61" i="2"/>
  <c r="Y61" i="2"/>
  <c r="AA61" i="2"/>
  <c r="X62" i="2"/>
  <c r="Y62" i="2"/>
  <c r="AA62" i="2"/>
  <c r="X63" i="2"/>
  <c r="Y63" i="2"/>
  <c r="AA63" i="2"/>
  <c r="X64" i="2"/>
  <c r="Y64" i="2"/>
  <c r="AA64" i="2"/>
  <c r="X65" i="2"/>
  <c r="Y65" i="2"/>
  <c r="AA65" i="2"/>
  <c r="X66" i="2"/>
  <c r="Y66" i="2"/>
  <c r="AA66" i="2"/>
  <c r="X67" i="2"/>
  <c r="Y67" i="2"/>
  <c r="AA67" i="2"/>
  <c r="X68" i="2"/>
  <c r="Y68" i="2"/>
  <c r="AA68" i="2"/>
  <c r="X69" i="2"/>
  <c r="Y69" i="2"/>
  <c r="AA69" i="2"/>
  <c r="X70" i="2"/>
  <c r="Y70" i="2"/>
  <c r="AA70" i="2"/>
  <c r="X71" i="2"/>
  <c r="Y71" i="2"/>
  <c r="AA71" i="2"/>
  <c r="X72" i="2"/>
  <c r="Y72" i="2"/>
  <c r="AA72" i="2"/>
  <c r="X73" i="2"/>
  <c r="Y73" i="2"/>
  <c r="AA73" i="2"/>
  <c r="X74" i="2"/>
  <c r="Y74" i="2"/>
  <c r="AA74" i="2"/>
  <c r="X75" i="2"/>
  <c r="Y75" i="2"/>
  <c r="AA75" i="2"/>
  <c r="X76" i="2"/>
  <c r="Y76" i="2"/>
  <c r="AA76" i="2"/>
  <c r="X77" i="2"/>
  <c r="Y77" i="2"/>
  <c r="AA77" i="2"/>
  <c r="X78" i="2"/>
  <c r="Y78" i="2"/>
  <c r="AA78" i="2"/>
  <c r="X79" i="2"/>
  <c r="Y79" i="2"/>
  <c r="AA79" i="2"/>
  <c r="X80" i="2"/>
  <c r="Y80" i="2"/>
  <c r="AA80" i="2"/>
  <c r="X81" i="2"/>
  <c r="Y81" i="2"/>
  <c r="AA81" i="2"/>
  <c r="X82" i="2"/>
  <c r="Y82" i="2"/>
  <c r="AA82" i="2"/>
  <c r="X83" i="2"/>
  <c r="Y83" i="2"/>
  <c r="AA83" i="2"/>
  <c r="X84" i="2"/>
  <c r="Y84" i="2"/>
  <c r="AA84" i="2"/>
  <c r="X85" i="2"/>
  <c r="Y85" i="2"/>
  <c r="AA85" i="2"/>
  <c r="X86" i="2"/>
  <c r="Y86" i="2"/>
  <c r="AA86" i="2"/>
  <c r="X87" i="2"/>
  <c r="Y87" i="2"/>
  <c r="AA87" i="2"/>
  <c r="AA4" i="2"/>
  <c r="Y4" i="2"/>
  <c r="X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P4" i="2"/>
  <c r="O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4" i="2"/>
  <c r="W11" i="2"/>
  <c r="W15" i="2" s="1"/>
  <c r="U11" i="2"/>
  <c r="U15" i="2" s="1"/>
  <c r="U19" i="2" s="1"/>
  <c r="U23" i="2" s="1"/>
  <c r="U27" i="2" s="1"/>
  <c r="U31" i="2" s="1"/>
  <c r="U35" i="2" s="1"/>
  <c r="U39" i="2" s="1"/>
  <c r="U43" i="2" s="1"/>
  <c r="U47" i="2" s="1"/>
  <c r="U51" i="2" s="1"/>
  <c r="U55" i="2" s="1"/>
  <c r="U59" i="2" s="1"/>
  <c r="U63" i="2" s="1"/>
  <c r="U67" i="2" s="1"/>
  <c r="U71" i="2" s="1"/>
  <c r="U75" i="2" s="1"/>
  <c r="U79" i="2" s="1"/>
  <c r="U83" i="2" s="1"/>
  <c r="U87" i="2" s="1"/>
  <c r="N11" i="2"/>
  <c r="N15" i="2" s="1"/>
  <c r="L11" i="2"/>
  <c r="L15" i="2" s="1"/>
  <c r="L19" i="2" s="1"/>
  <c r="L23" i="2" s="1"/>
  <c r="L27" i="2" s="1"/>
  <c r="L31" i="2" s="1"/>
  <c r="E11" i="2"/>
  <c r="E15" i="2" s="1"/>
  <c r="E19" i="2" s="1"/>
  <c r="C11" i="2"/>
  <c r="C15" i="2" s="1"/>
  <c r="C19" i="2" s="1"/>
  <c r="C23" i="2" s="1"/>
  <c r="C27" i="2" s="1"/>
  <c r="W10" i="2"/>
  <c r="W14" i="2" s="1"/>
  <c r="U10" i="2"/>
  <c r="U14" i="2" s="1"/>
  <c r="U18" i="2" s="1"/>
  <c r="U22" i="2" s="1"/>
  <c r="U26" i="2" s="1"/>
  <c r="U30" i="2" s="1"/>
  <c r="U34" i="2" s="1"/>
  <c r="U38" i="2" s="1"/>
  <c r="U42" i="2" s="1"/>
  <c r="U46" i="2" s="1"/>
  <c r="U50" i="2" s="1"/>
  <c r="U54" i="2" s="1"/>
  <c r="U58" i="2" s="1"/>
  <c r="U62" i="2" s="1"/>
  <c r="U66" i="2" s="1"/>
  <c r="U70" i="2" s="1"/>
  <c r="U74" i="2" s="1"/>
  <c r="U78" i="2" s="1"/>
  <c r="U82" i="2" s="1"/>
  <c r="U86" i="2" s="1"/>
  <c r="N10" i="2"/>
  <c r="N14" i="2" s="1"/>
  <c r="L10" i="2"/>
  <c r="L14" i="2" s="1"/>
  <c r="L18" i="2" s="1"/>
  <c r="L22" i="2" s="1"/>
  <c r="L26" i="2" s="1"/>
  <c r="L30" i="2" s="1"/>
  <c r="E10" i="2"/>
  <c r="E14" i="2" s="1"/>
  <c r="C10" i="2"/>
  <c r="C14" i="2" s="1"/>
  <c r="C18" i="2" s="1"/>
  <c r="C22" i="2" s="1"/>
  <c r="C26" i="2" s="1"/>
  <c r="W9" i="2"/>
  <c r="W13" i="2" s="1"/>
  <c r="U9" i="2"/>
  <c r="U13" i="2" s="1"/>
  <c r="U17" i="2" s="1"/>
  <c r="U21" i="2" s="1"/>
  <c r="U25" i="2" s="1"/>
  <c r="U29" i="2" s="1"/>
  <c r="U33" i="2" s="1"/>
  <c r="U37" i="2" s="1"/>
  <c r="U41" i="2" s="1"/>
  <c r="U45" i="2" s="1"/>
  <c r="U49" i="2" s="1"/>
  <c r="U53" i="2" s="1"/>
  <c r="U57" i="2" s="1"/>
  <c r="U61" i="2" s="1"/>
  <c r="U65" i="2" s="1"/>
  <c r="U69" i="2" s="1"/>
  <c r="U73" i="2" s="1"/>
  <c r="U77" i="2" s="1"/>
  <c r="U81" i="2" s="1"/>
  <c r="U85" i="2" s="1"/>
  <c r="N9" i="2"/>
  <c r="N13" i="2" s="1"/>
  <c r="L9" i="2"/>
  <c r="L13" i="2" s="1"/>
  <c r="L17" i="2" s="1"/>
  <c r="L21" i="2" s="1"/>
  <c r="L25" i="2" s="1"/>
  <c r="L29" i="2" s="1"/>
  <c r="E9" i="2"/>
  <c r="E13" i="2" s="1"/>
  <c r="C9" i="2"/>
  <c r="C13" i="2" s="1"/>
  <c r="C17" i="2" s="1"/>
  <c r="C21" i="2" s="1"/>
  <c r="C25" i="2" s="1"/>
  <c r="W8" i="2"/>
  <c r="W12" i="2" s="1"/>
  <c r="W16" i="2" s="1"/>
  <c r="W20" i="2" s="1"/>
  <c r="U8" i="2"/>
  <c r="U12" i="2" s="1"/>
  <c r="U16" i="2" s="1"/>
  <c r="U20" i="2" s="1"/>
  <c r="U24" i="2" s="1"/>
  <c r="U28" i="2" s="1"/>
  <c r="U32" i="2" s="1"/>
  <c r="U36" i="2" s="1"/>
  <c r="U40" i="2" s="1"/>
  <c r="U44" i="2" s="1"/>
  <c r="U48" i="2" s="1"/>
  <c r="U52" i="2" s="1"/>
  <c r="U56" i="2" s="1"/>
  <c r="U60" i="2" s="1"/>
  <c r="U64" i="2" s="1"/>
  <c r="U68" i="2" s="1"/>
  <c r="U72" i="2" s="1"/>
  <c r="U76" i="2" s="1"/>
  <c r="U80" i="2" s="1"/>
  <c r="U84" i="2" s="1"/>
  <c r="N8" i="2"/>
  <c r="N12" i="2" s="1"/>
  <c r="N16" i="2" s="1"/>
  <c r="N20" i="2" s="1"/>
  <c r="L8" i="2"/>
  <c r="L12" i="2" s="1"/>
  <c r="L16" i="2" s="1"/>
  <c r="L20" i="2" s="1"/>
  <c r="L24" i="2" s="1"/>
  <c r="L28" i="2" s="1"/>
  <c r="E8" i="2"/>
  <c r="E12" i="2" s="1"/>
  <c r="E16" i="2" s="1"/>
  <c r="E20" i="2" s="1"/>
  <c r="C8" i="2"/>
  <c r="C12" i="2" s="1"/>
  <c r="C16" i="2" s="1"/>
  <c r="C20" i="2" s="1"/>
  <c r="C24" i="2" s="1"/>
  <c r="B6" i="2"/>
  <c r="T5" i="2"/>
  <c r="T6" i="2" s="1"/>
  <c r="K5" i="2"/>
  <c r="B5" i="2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N17" i="2" l="1"/>
  <c r="E18" i="2"/>
  <c r="W18" i="2"/>
  <c r="T7" i="2"/>
  <c r="E17" i="2"/>
  <c r="W17" i="2"/>
  <c r="N18" i="2"/>
  <c r="K6" i="2"/>
  <c r="B7" i="2"/>
  <c r="E23" i="2"/>
  <c r="W19" i="2"/>
  <c r="N19" i="2"/>
  <c r="E24" i="2"/>
  <c r="N24" i="2"/>
  <c r="W24" i="2"/>
  <c r="V4" i="1"/>
  <c r="B8" i="2" l="1"/>
  <c r="N22" i="2"/>
  <c r="E21" i="2"/>
  <c r="E27" i="2"/>
  <c r="K7" i="2"/>
  <c r="T8" i="2"/>
  <c r="W28" i="2"/>
  <c r="E22" i="2"/>
  <c r="N28" i="2"/>
  <c r="N23" i="2"/>
  <c r="W23" i="2"/>
  <c r="W21" i="2"/>
  <c r="W22" i="2"/>
  <c r="N21" i="2"/>
  <c r="W36" i="1"/>
  <c r="X36" i="1"/>
  <c r="Y36" i="1"/>
  <c r="Z36" i="1"/>
  <c r="AA36" i="1"/>
  <c r="W37" i="1"/>
  <c r="X37" i="1"/>
  <c r="Y37" i="1"/>
  <c r="Z37" i="1"/>
  <c r="AA37" i="1"/>
  <c r="W38" i="1"/>
  <c r="X38" i="1"/>
  <c r="Y38" i="1"/>
  <c r="Z38" i="1"/>
  <c r="AA38" i="1"/>
  <c r="W39" i="1"/>
  <c r="X39" i="1"/>
  <c r="Y39" i="1"/>
  <c r="Z39" i="1"/>
  <c r="AA39" i="1"/>
  <c r="W40" i="1"/>
  <c r="X40" i="1"/>
  <c r="Y40" i="1"/>
  <c r="Z40" i="1"/>
  <c r="AA40" i="1"/>
  <c r="W41" i="1"/>
  <c r="X41" i="1"/>
  <c r="Y41" i="1"/>
  <c r="Z41" i="1"/>
  <c r="AA41" i="1"/>
  <c r="W42" i="1"/>
  <c r="X42" i="1"/>
  <c r="Y42" i="1"/>
  <c r="Z42" i="1"/>
  <c r="AA42" i="1"/>
  <c r="W43" i="1"/>
  <c r="X43" i="1"/>
  <c r="Y43" i="1"/>
  <c r="Z43" i="1"/>
  <c r="AA43" i="1"/>
  <c r="W44" i="1"/>
  <c r="X44" i="1"/>
  <c r="Y44" i="1"/>
  <c r="Z44" i="1"/>
  <c r="AA44" i="1"/>
  <c r="W45" i="1"/>
  <c r="X45" i="1"/>
  <c r="Y45" i="1"/>
  <c r="Z45" i="1"/>
  <c r="AA45" i="1"/>
  <c r="W46" i="1"/>
  <c r="X46" i="1"/>
  <c r="Y46" i="1"/>
  <c r="Z46" i="1"/>
  <c r="AA46" i="1"/>
  <c r="W47" i="1"/>
  <c r="X47" i="1"/>
  <c r="Y47" i="1"/>
  <c r="Z47" i="1"/>
  <c r="AA47" i="1"/>
  <c r="W48" i="1"/>
  <c r="X48" i="1"/>
  <c r="Y48" i="1"/>
  <c r="Z48" i="1"/>
  <c r="AA48" i="1"/>
  <c r="W49" i="1"/>
  <c r="X49" i="1"/>
  <c r="Y49" i="1"/>
  <c r="Z49" i="1"/>
  <c r="AA49" i="1"/>
  <c r="W50" i="1"/>
  <c r="X50" i="1"/>
  <c r="Y50" i="1"/>
  <c r="Z50" i="1"/>
  <c r="AA50" i="1"/>
  <c r="W51" i="1"/>
  <c r="X51" i="1"/>
  <c r="Y51" i="1"/>
  <c r="Z51" i="1"/>
  <c r="AA51" i="1"/>
  <c r="W52" i="1"/>
  <c r="X52" i="1"/>
  <c r="Y52" i="1"/>
  <c r="Z52" i="1"/>
  <c r="AA52" i="1"/>
  <c r="W53" i="1"/>
  <c r="X53" i="1"/>
  <c r="Y53" i="1"/>
  <c r="Z53" i="1"/>
  <c r="AA53" i="1"/>
  <c r="W54" i="1"/>
  <c r="X54" i="1"/>
  <c r="Y54" i="1"/>
  <c r="Z54" i="1"/>
  <c r="AA54" i="1"/>
  <c r="W55" i="1"/>
  <c r="X55" i="1"/>
  <c r="Y55" i="1"/>
  <c r="Z55" i="1"/>
  <c r="AA55" i="1"/>
  <c r="W56" i="1"/>
  <c r="X56" i="1"/>
  <c r="Y56" i="1"/>
  <c r="Z56" i="1"/>
  <c r="AA56" i="1"/>
  <c r="W57" i="1"/>
  <c r="X57" i="1"/>
  <c r="Y57" i="1"/>
  <c r="Z57" i="1"/>
  <c r="AA57" i="1"/>
  <c r="W58" i="1"/>
  <c r="X58" i="1"/>
  <c r="Y58" i="1"/>
  <c r="Z58" i="1"/>
  <c r="AA58" i="1"/>
  <c r="W59" i="1"/>
  <c r="X59" i="1"/>
  <c r="Y59" i="1"/>
  <c r="Z59" i="1"/>
  <c r="AA59" i="1"/>
  <c r="W60" i="1"/>
  <c r="X60" i="1"/>
  <c r="Y60" i="1"/>
  <c r="Z60" i="1"/>
  <c r="AA60" i="1"/>
  <c r="W61" i="1"/>
  <c r="X61" i="1"/>
  <c r="Y61" i="1"/>
  <c r="Z61" i="1"/>
  <c r="AA61" i="1"/>
  <c r="W62" i="1"/>
  <c r="X62" i="1"/>
  <c r="Y62" i="1"/>
  <c r="Z62" i="1"/>
  <c r="AA62" i="1"/>
  <c r="W63" i="1"/>
  <c r="X63" i="1"/>
  <c r="Y63" i="1"/>
  <c r="Z63" i="1"/>
  <c r="AA63" i="1"/>
  <c r="W64" i="1"/>
  <c r="X64" i="1"/>
  <c r="Y64" i="1"/>
  <c r="Z64" i="1"/>
  <c r="AA64" i="1"/>
  <c r="W65" i="1"/>
  <c r="X65" i="1"/>
  <c r="Y65" i="1"/>
  <c r="Z65" i="1"/>
  <c r="AA65" i="1"/>
  <c r="W66" i="1"/>
  <c r="X66" i="1"/>
  <c r="Y66" i="1"/>
  <c r="Z66" i="1"/>
  <c r="AA66" i="1"/>
  <c r="W67" i="1"/>
  <c r="X67" i="1"/>
  <c r="Y67" i="1"/>
  <c r="Z67" i="1"/>
  <c r="AA67" i="1"/>
  <c r="W68" i="1"/>
  <c r="X68" i="1"/>
  <c r="Y68" i="1"/>
  <c r="Z68" i="1"/>
  <c r="AA68" i="1"/>
  <c r="W69" i="1"/>
  <c r="X69" i="1"/>
  <c r="Y69" i="1"/>
  <c r="Z69" i="1"/>
  <c r="AA69" i="1"/>
  <c r="W70" i="1"/>
  <c r="X70" i="1"/>
  <c r="Y70" i="1"/>
  <c r="Z70" i="1"/>
  <c r="AA70" i="1"/>
  <c r="W71" i="1"/>
  <c r="X71" i="1"/>
  <c r="Y71" i="1"/>
  <c r="Z71" i="1"/>
  <c r="AA71" i="1"/>
  <c r="W72" i="1"/>
  <c r="X72" i="1"/>
  <c r="Y72" i="1"/>
  <c r="Z72" i="1"/>
  <c r="AA72" i="1"/>
  <c r="W73" i="1"/>
  <c r="X73" i="1"/>
  <c r="Y73" i="1"/>
  <c r="Z73" i="1"/>
  <c r="AA73" i="1"/>
  <c r="W74" i="1"/>
  <c r="X74" i="1"/>
  <c r="Y74" i="1"/>
  <c r="Z74" i="1"/>
  <c r="AA74" i="1"/>
  <c r="W75" i="1"/>
  <c r="X75" i="1"/>
  <c r="Y75" i="1"/>
  <c r="Z75" i="1"/>
  <c r="AA75" i="1"/>
  <c r="W76" i="1"/>
  <c r="X76" i="1"/>
  <c r="Y76" i="1"/>
  <c r="Z76" i="1"/>
  <c r="AA76" i="1"/>
  <c r="W77" i="1"/>
  <c r="X77" i="1"/>
  <c r="Y77" i="1"/>
  <c r="Z77" i="1"/>
  <c r="AA77" i="1"/>
  <c r="W78" i="1"/>
  <c r="X78" i="1"/>
  <c r="Y78" i="1"/>
  <c r="Z78" i="1"/>
  <c r="AA78" i="1"/>
  <c r="W79" i="1"/>
  <c r="X79" i="1"/>
  <c r="Y79" i="1"/>
  <c r="Z79" i="1"/>
  <c r="AA79" i="1"/>
  <c r="W80" i="1"/>
  <c r="X80" i="1"/>
  <c r="Y80" i="1"/>
  <c r="Z80" i="1"/>
  <c r="AA80" i="1"/>
  <c r="W81" i="1"/>
  <c r="X81" i="1"/>
  <c r="Y81" i="1"/>
  <c r="Z81" i="1"/>
  <c r="AA81" i="1"/>
  <c r="W82" i="1"/>
  <c r="X82" i="1"/>
  <c r="Y82" i="1"/>
  <c r="Z82" i="1"/>
  <c r="AA82" i="1"/>
  <c r="W83" i="1"/>
  <c r="X83" i="1"/>
  <c r="Y83" i="1"/>
  <c r="Z83" i="1"/>
  <c r="AA83" i="1"/>
  <c r="W84" i="1"/>
  <c r="X84" i="1"/>
  <c r="Y84" i="1"/>
  <c r="Z84" i="1"/>
  <c r="AA84" i="1"/>
  <c r="W85" i="1"/>
  <c r="X85" i="1"/>
  <c r="Y85" i="1"/>
  <c r="Z85" i="1"/>
  <c r="AA85" i="1"/>
  <c r="W86" i="1"/>
  <c r="X86" i="1"/>
  <c r="Y86" i="1"/>
  <c r="Z86" i="1"/>
  <c r="AA86" i="1"/>
  <c r="W87" i="1"/>
  <c r="X87" i="1"/>
  <c r="Y87" i="1"/>
  <c r="Z87" i="1"/>
  <c r="AA87" i="1"/>
  <c r="T36" i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U15" i="1"/>
  <c r="U19" i="1" s="1"/>
  <c r="U23" i="1" s="1"/>
  <c r="U27" i="1" s="1"/>
  <c r="U31" i="1" s="1"/>
  <c r="U35" i="1" s="1"/>
  <c r="W11" i="1"/>
  <c r="W15" i="1" s="1"/>
  <c r="W19" i="1" s="1"/>
  <c r="W23" i="1" s="1"/>
  <c r="W27" i="1" s="1"/>
  <c r="W31" i="1" s="1"/>
  <c r="W35" i="1" s="1"/>
  <c r="U11" i="1"/>
  <c r="W10" i="1"/>
  <c r="U10" i="1"/>
  <c r="U14" i="1" s="1"/>
  <c r="U18" i="1" s="1"/>
  <c r="U22" i="1" s="1"/>
  <c r="U26" i="1" s="1"/>
  <c r="U30" i="1" s="1"/>
  <c r="U34" i="1" s="1"/>
  <c r="W9" i="1"/>
  <c r="U9" i="1"/>
  <c r="U13" i="1" s="1"/>
  <c r="U17" i="1" s="1"/>
  <c r="U21" i="1" s="1"/>
  <c r="U25" i="1" s="1"/>
  <c r="U29" i="1" s="1"/>
  <c r="U33" i="1" s="1"/>
  <c r="W8" i="1"/>
  <c r="U8" i="1"/>
  <c r="U12" i="1" s="1"/>
  <c r="U16" i="1" s="1"/>
  <c r="U20" i="1" s="1"/>
  <c r="U24" i="1" s="1"/>
  <c r="U28" i="1" s="1"/>
  <c r="U32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T5" i="1"/>
  <c r="T6" i="1" s="1"/>
  <c r="AA4" i="1"/>
  <c r="Y4" i="1"/>
  <c r="X4" i="1"/>
  <c r="W27" i="2" l="1"/>
  <c r="W32" i="2"/>
  <c r="N25" i="2"/>
  <c r="W25" i="2"/>
  <c r="E26" i="2"/>
  <c r="N26" i="2"/>
  <c r="B9" i="2"/>
  <c r="N27" i="2"/>
  <c r="T9" i="2"/>
  <c r="K8" i="2"/>
  <c r="W26" i="2"/>
  <c r="E25" i="2"/>
  <c r="Y5" i="1"/>
  <c r="AA5" i="1"/>
  <c r="T7" i="1"/>
  <c r="X6" i="1"/>
  <c r="Y6" i="1"/>
  <c r="W12" i="1"/>
  <c r="W13" i="1"/>
  <c r="W14" i="1"/>
  <c r="AA6" i="1"/>
  <c r="X5" i="1"/>
  <c r="M28" i="1"/>
  <c r="N28" i="1"/>
  <c r="O28" i="1"/>
  <c r="P28" i="1"/>
  <c r="Q28" i="1"/>
  <c r="R28" i="1"/>
  <c r="M29" i="1"/>
  <c r="N29" i="1"/>
  <c r="O29" i="1"/>
  <c r="P29" i="1"/>
  <c r="Q29" i="1"/>
  <c r="R29" i="1"/>
  <c r="M30" i="1"/>
  <c r="N30" i="1"/>
  <c r="O30" i="1"/>
  <c r="P30" i="1"/>
  <c r="Q30" i="1"/>
  <c r="R30" i="1"/>
  <c r="M31" i="1"/>
  <c r="N31" i="1"/>
  <c r="O31" i="1"/>
  <c r="P31" i="1"/>
  <c r="Q31" i="1"/>
  <c r="R31" i="1"/>
  <c r="M6" i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5" i="1"/>
  <c r="M4" i="1"/>
  <c r="B6" i="1"/>
  <c r="B7" i="1"/>
  <c r="B8" i="1" s="1"/>
  <c r="B5" i="1"/>
  <c r="F5" i="1" s="1"/>
  <c r="K28" i="1"/>
  <c r="K29" i="1"/>
  <c r="K30" i="1" s="1"/>
  <c r="K31" i="1" s="1"/>
  <c r="K6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5" i="1"/>
  <c r="R5" i="1" s="1"/>
  <c r="L28" i="1"/>
  <c r="L29" i="1"/>
  <c r="L30" i="1"/>
  <c r="L31" i="1"/>
  <c r="N11" i="1"/>
  <c r="N15" i="1" s="1"/>
  <c r="L11" i="1"/>
  <c r="N10" i="1"/>
  <c r="N14" i="1" s="1"/>
  <c r="L10" i="1"/>
  <c r="N9" i="1"/>
  <c r="N13" i="1" s="1"/>
  <c r="L9" i="1"/>
  <c r="N8" i="1"/>
  <c r="N12" i="1" s="1"/>
  <c r="L8" i="1"/>
  <c r="R7" i="1"/>
  <c r="O7" i="1"/>
  <c r="R6" i="1"/>
  <c r="P6" i="1"/>
  <c r="O6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5" i="1"/>
  <c r="R4" i="1"/>
  <c r="P4" i="1"/>
  <c r="O4" i="1"/>
  <c r="G5" i="1"/>
  <c r="G6" i="1"/>
  <c r="G4" i="1"/>
  <c r="E9" i="1"/>
  <c r="E10" i="1"/>
  <c r="E11" i="1"/>
  <c r="E13" i="1"/>
  <c r="E14" i="1"/>
  <c r="E15" i="1"/>
  <c r="E17" i="1"/>
  <c r="E18" i="1"/>
  <c r="E19" i="1"/>
  <c r="E21" i="1"/>
  <c r="E22" i="1"/>
  <c r="E23" i="1"/>
  <c r="E25" i="1"/>
  <c r="E26" i="1"/>
  <c r="E27" i="1"/>
  <c r="E8" i="1"/>
  <c r="I5" i="1"/>
  <c r="I6" i="1"/>
  <c r="I4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F6" i="1"/>
  <c r="F4" i="1"/>
  <c r="C9" i="1"/>
  <c r="C13" i="1" s="1"/>
  <c r="C17" i="1" s="1"/>
  <c r="C21" i="1" s="1"/>
  <c r="C25" i="1" s="1"/>
  <c r="C10" i="1"/>
  <c r="C14" i="1" s="1"/>
  <c r="C18" i="1" s="1"/>
  <c r="C22" i="1" s="1"/>
  <c r="C26" i="1" s="1"/>
  <c r="C11" i="1"/>
  <c r="C15" i="1" s="1"/>
  <c r="C19" i="1" s="1"/>
  <c r="C23" i="1" s="1"/>
  <c r="C27" i="1" s="1"/>
  <c r="C8" i="1"/>
  <c r="C12" i="1" s="1"/>
  <c r="C16" i="1" s="1"/>
  <c r="C20" i="1" s="1"/>
  <c r="C24" i="1" s="1"/>
  <c r="N30" i="2" l="1"/>
  <c r="W36" i="2"/>
  <c r="T10" i="2"/>
  <c r="B10" i="2"/>
  <c r="N29" i="2"/>
  <c r="W29" i="2"/>
  <c r="W30" i="2"/>
  <c r="K9" i="2"/>
  <c r="N31" i="2"/>
  <c r="W31" i="2"/>
  <c r="W18" i="1"/>
  <c r="W16" i="1"/>
  <c r="T8" i="1"/>
  <c r="X7" i="1"/>
  <c r="Y7" i="1"/>
  <c r="AA7" i="1"/>
  <c r="W17" i="1"/>
  <c r="B9" i="1"/>
  <c r="B10" i="1" s="1"/>
  <c r="B11" i="1" s="1"/>
  <c r="B12" i="1" s="1"/>
  <c r="I8" i="1"/>
  <c r="G8" i="1"/>
  <c r="F7" i="1"/>
  <c r="I7" i="1"/>
  <c r="G7" i="1"/>
  <c r="P7" i="1"/>
  <c r="R8" i="1"/>
  <c r="R9" i="1"/>
  <c r="R10" i="1"/>
  <c r="R11" i="1"/>
  <c r="P5" i="1"/>
  <c r="O8" i="1"/>
  <c r="O9" i="1"/>
  <c r="O10" i="1"/>
  <c r="O11" i="1"/>
  <c r="L12" i="1"/>
  <c r="L14" i="1"/>
  <c r="N16" i="1"/>
  <c r="N17" i="1"/>
  <c r="N18" i="1"/>
  <c r="P14" i="1"/>
  <c r="N19" i="1"/>
  <c r="L13" i="1"/>
  <c r="L15" i="1"/>
  <c r="P8" i="1"/>
  <c r="P9" i="1"/>
  <c r="P10" i="1"/>
  <c r="P11" i="1"/>
  <c r="G11" i="1"/>
  <c r="G9" i="1"/>
  <c r="G10" i="1"/>
  <c r="E12" i="1"/>
  <c r="F8" i="1"/>
  <c r="I10" i="1"/>
  <c r="F11" i="1"/>
  <c r="F9" i="1"/>
  <c r="F10" i="1"/>
  <c r="I11" i="1"/>
  <c r="I9" i="1"/>
  <c r="W33" i="2" l="1"/>
  <c r="T11" i="2"/>
  <c r="W34" i="2"/>
  <c r="B11" i="2"/>
  <c r="W35" i="2"/>
  <c r="K10" i="2"/>
  <c r="W40" i="2"/>
  <c r="W21" i="1"/>
  <c r="T9" i="1"/>
  <c r="X8" i="1"/>
  <c r="AA8" i="1"/>
  <c r="Y8" i="1"/>
  <c r="W20" i="1"/>
  <c r="W22" i="1"/>
  <c r="I12" i="1"/>
  <c r="B13" i="1"/>
  <c r="F12" i="1"/>
  <c r="R13" i="1"/>
  <c r="L17" i="1"/>
  <c r="O13" i="1"/>
  <c r="N23" i="1"/>
  <c r="N22" i="1"/>
  <c r="N21" i="1"/>
  <c r="N20" i="1"/>
  <c r="R12" i="1"/>
  <c r="O12" i="1"/>
  <c r="L16" i="1"/>
  <c r="R15" i="1"/>
  <c r="L19" i="1"/>
  <c r="O15" i="1"/>
  <c r="P15" i="1"/>
  <c r="P13" i="1"/>
  <c r="P12" i="1"/>
  <c r="R14" i="1"/>
  <c r="O14" i="1"/>
  <c r="L18" i="1"/>
  <c r="G12" i="1"/>
  <c r="E16" i="1"/>
  <c r="W39" i="2" l="1"/>
  <c r="W38" i="2"/>
  <c r="T12" i="2"/>
  <c r="K11" i="2"/>
  <c r="W37" i="2"/>
  <c r="B12" i="2"/>
  <c r="W44" i="2"/>
  <c r="W26" i="1"/>
  <c r="W24" i="1"/>
  <c r="T10" i="1"/>
  <c r="X9" i="1"/>
  <c r="AA9" i="1"/>
  <c r="Y9" i="1"/>
  <c r="W25" i="1"/>
  <c r="B14" i="1"/>
  <c r="F13" i="1"/>
  <c r="I13" i="1"/>
  <c r="G13" i="1"/>
  <c r="R19" i="1"/>
  <c r="L23" i="1"/>
  <c r="O19" i="1"/>
  <c r="R16" i="1"/>
  <c r="L20" i="1"/>
  <c r="O16" i="1"/>
  <c r="N24" i="1"/>
  <c r="N25" i="1"/>
  <c r="N26" i="1"/>
  <c r="N27" i="1"/>
  <c r="P23" i="1"/>
  <c r="R17" i="1"/>
  <c r="L21" i="1"/>
  <c r="O17" i="1"/>
  <c r="R18" i="1"/>
  <c r="L22" i="1"/>
  <c r="O18" i="1"/>
  <c r="P16" i="1"/>
  <c r="P17" i="1"/>
  <c r="P18" i="1"/>
  <c r="P19" i="1"/>
  <c r="E20" i="1"/>
  <c r="W48" i="2" l="1"/>
  <c r="B13" i="2"/>
  <c r="W42" i="2"/>
  <c r="K12" i="2"/>
  <c r="W41" i="2"/>
  <c r="T13" i="2"/>
  <c r="W43" i="2"/>
  <c r="W29" i="1"/>
  <c r="T11" i="1"/>
  <c r="X10" i="1"/>
  <c r="AA10" i="1"/>
  <c r="Y10" i="1"/>
  <c r="W28" i="1"/>
  <c r="W30" i="1"/>
  <c r="B15" i="1"/>
  <c r="G14" i="1"/>
  <c r="I14" i="1"/>
  <c r="F14" i="1"/>
  <c r="R22" i="1"/>
  <c r="L26" i="1"/>
  <c r="O22" i="1"/>
  <c r="R20" i="1"/>
  <c r="L24" i="1"/>
  <c r="O20" i="1"/>
  <c r="R21" i="1"/>
  <c r="L25" i="1"/>
  <c r="O21" i="1"/>
  <c r="P22" i="1"/>
  <c r="P21" i="1"/>
  <c r="P20" i="1"/>
  <c r="R23" i="1"/>
  <c r="L27" i="1"/>
  <c r="O23" i="1"/>
  <c r="E24" i="1"/>
  <c r="W47" i="2" l="1"/>
  <c r="W46" i="2"/>
  <c r="B14" i="2"/>
  <c r="W52" i="2"/>
  <c r="T14" i="2"/>
  <c r="W45" i="2"/>
  <c r="K13" i="2"/>
  <c r="W34" i="1"/>
  <c r="W32" i="1"/>
  <c r="T12" i="1"/>
  <c r="X11" i="1"/>
  <c r="AA11" i="1"/>
  <c r="Y11" i="1"/>
  <c r="W33" i="1"/>
  <c r="B16" i="1"/>
  <c r="G15" i="1"/>
  <c r="F15" i="1"/>
  <c r="I15" i="1"/>
  <c r="R27" i="1"/>
  <c r="O27" i="1"/>
  <c r="R25" i="1"/>
  <c r="O25" i="1"/>
  <c r="P25" i="1"/>
  <c r="P27" i="1"/>
  <c r="R26" i="1"/>
  <c r="O26" i="1"/>
  <c r="R24" i="1"/>
  <c r="O24" i="1"/>
  <c r="P24" i="1"/>
  <c r="P26" i="1"/>
  <c r="T15" i="2" l="1"/>
  <c r="W49" i="2"/>
  <c r="W50" i="2"/>
  <c r="K14" i="2"/>
  <c r="W56" i="2"/>
  <c r="B15" i="2"/>
  <c r="W51" i="2"/>
  <c r="T13" i="1"/>
  <c r="X12" i="1"/>
  <c r="AA12" i="1"/>
  <c r="Y12" i="1"/>
  <c r="B17" i="1"/>
  <c r="I16" i="1"/>
  <c r="F16" i="1"/>
  <c r="G16" i="1"/>
  <c r="B16" i="2" l="1"/>
  <c r="W55" i="2"/>
  <c r="W54" i="2"/>
  <c r="W60" i="2"/>
  <c r="K15" i="2"/>
  <c r="W53" i="2"/>
  <c r="T16" i="2"/>
  <c r="T14" i="1"/>
  <c r="X13" i="1"/>
  <c r="AA13" i="1"/>
  <c r="Y13" i="1"/>
  <c r="B18" i="1"/>
  <c r="G17" i="1"/>
  <c r="F17" i="1"/>
  <c r="I17" i="1"/>
  <c r="W57" i="2" l="1"/>
  <c r="W64" i="2"/>
  <c r="W59" i="2"/>
  <c r="W58" i="2"/>
  <c r="K16" i="2"/>
  <c r="B17" i="2"/>
  <c r="T17" i="2"/>
  <c r="T15" i="1"/>
  <c r="AA14" i="1"/>
  <c r="X14" i="1"/>
  <c r="Y14" i="1"/>
  <c r="B19" i="1"/>
  <c r="I18" i="1"/>
  <c r="F18" i="1"/>
  <c r="G18" i="1"/>
  <c r="T18" i="2" l="1"/>
  <c r="W63" i="2"/>
  <c r="W61" i="2"/>
  <c r="W62" i="2"/>
  <c r="W68" i="2"/>
  <c r="B18" i="2"/>
  <c r="K17" i="2"/>
  <c r="T16" i="1"/>
  <c r="X15" i="1"/>
  <c r="AA15" i="1"/>
  <c r="Y15" i="1"/>
  <c r="B20" i="1"/>
  <c r="G19" i="1"/>
  <c r="F19" i="1"/>
  <c r="I19" i="1"/>
  <c r="W72" i="2" l="1"/>
  <c r="W65" i="2"/>
  <c r="K18" i="2"/>
  <c r="W66" i="2"/>
  <c r="W67" i="2"/>
  <c r="T19" i="2"/>
  <c r="B19" i="2"/>
  <c r="T17" i="1"/>
  <c r="X16" i="1"/>
  <c r="AA16" i="1"/>
  <c r="Y16" i="1"/>
  <c r="I20" i="1"/>
  <c r="F20" i="1"/>
  <c r="B21" i="1"/>
  <c r="G20" i="1"/>
  <c r="W71" i="2" l="1"/>
  <c r="W69" i="2"/>
  <c r="T20" i="2"/>
  <c r="W70" i="2"/>
  <c r="K19" i="2"/>
  <c r="W76" i="2"/>
  <c r="B20" i="2"/>
  <c r="T18" i="1"/>
  <c r="X17" i="1"/>
  <c r="AA17" i="1"/>
  <c r="Y17" i="1"/>
  <c r="B22" i="1"/>
  <c r="G21" i="1"/>
  <c r="F21" i="1"/>
  <c r="I21" i="1"/>
  <c r="W80" i="2" l="1"/>
  <c r="K20" i="2"/>
  <c r="W73" i="2"/>
  <c r="B21" i="2"/>
  <c r="W75" i="2"/>
  <c r="W74" i="2"/>
  <c r="T21" i="2"/>
  <c r="T19" i="1"/>
  <c r="X18" i="1"/>
  <c r="AA18" i="1"/>
  <c r="Y18" i="1"/>
  <c r="B23" i="1"/>
  <c r="G22" i="1"/>
  <c r="I22" i="1"/>
  <c r="F22" i="1"/>
  <c r="W78" i="2" l="1"/>
  <c r="K21" i="2"/>
  <c r="T22" i="2"/>
  <c r="W79" i="2"/>
  <c r="W84" i="2"/>
  <c r="W77" i="2"/>
  <c r="B22" i="2"/>
  <c r="T20" i="1"/>
  <c r="X19" i="1"/>
  <c r="AA19" i="1"/>
  <c r="Y19" i="1"/>
  <c r="B24" i="1"/>
  <c r="G23" i="1"/>
  <c r="F23" i="1"/>
  <c r="I23" i="1"/>
  <c r="W81" i="2" l="1"/>
  <c r="W83" i="2"/>
  <c r="T23" i="2"/>
  <c r="K22" i="2"/>
  <c r="W82" i="2"/>
  <c r="B23" i="2"/>
  <c r="T21" i="1"/>
  <c r="X20" i="1"/>
  <c r="AA20" i="1"/>
  <c r="Y20" i="1"/>
  <c r="B25" i="1"/>
  <c r="F24" i="1"/>
  <c r="I24" i="1"/>
  <c r="G24" i="1"/>
  <c r="W87" i="2" l="1"/>
  <c r="B24" i="2"/>
  <c r="W86" i="2"/>
  <c r="K23" i="2"/>
  <c r="T24" i="2"/>
  <c r="W85" i="2"/>
  <c r="T22" i="1"/>
  <c r="X21" i="1"/>
  <c r="AA21" i="1"/>
  <c r="Y21" i="1"/>
  <c r="B26" i="1"/>
  <c r="I25" i="1"/>
  <c r="G25" i="1"/>
  <c r="F25" i="1"/>
  <c r="B25" i="2" l="1"/>
  <c r="K24" i="2"/>
  <c r="T25" i="2"/>
  <c r="T23" i="1"/>
  <c r="X22" i="1"/>
  <c r="AA22" i="1"/>
  <c r="Y22" i="1"/>
  <c r="B27" i="1"/>
  <c r="G26" i="1"/>
  <c r="I26" i="1"/>
  <c r="F26" i="1"/>
  <c r="K25" i="2" l="1"/>
  <c r="B26" i="2"/>
  <c r="T26" i="2"/>
  <c r="T24" i="1"/>
  <c r="X23" i="1"/>
  <c r="AA23" i="1"/>
  <c r="Y23" i="1"/>
  <c r="I27" i="1"/>
  <c r="G27" i="1"/>
  <c r="F27" i="1"/>
  <c r="K26" i="2" l="1"/>
  <c r="B27" i="2"/>
  <c r="T27" i="2"/>
  <c r="T25" i="1"/>
  <c r="X24" i="1"/>
  <c r="AA24" i="1"/>
  <c r="Y24" i="1"/>
  <c r="T28" i="2" l="1"/>
  <c r="K27" i="2"/>
  <c r="T26" i="1"/>
  <c r="X25" i="1"/>
  <c r="AA25" i="1"/>
  <c r="Y25" i="1"/>
  <c r="T29" i="2" l="1"/>
  <c r="K28" i="2"/>
  <c r="T27" i="1"/>
  <c r="X26" i="1"/>
  <c r="AA26" i="1"/>
  <c r="Y26" i="1"/>
  <c r="K29" i="2" l="1"/>
  <c r="T30" i="2"/>
  <c r="T28" i="1"/>
  <c r="X27" i="1"/>
  <c r="AA27" i="1"/>
  <c r="Y27" i="1"/>
  <c r="T31" i="2" l="1"/>
  <c r="K30" i="2"/>
  <c r="T29" i="1"/>
  <c r="X28" i="1"/>
  <c r="AA28" i="1"/>
  <c r="Y28" i="1"/>
  <c r="K31" i="2" l="1"/>
  <c r="T32" i="2"/>
  <c r="T30" i="1"/>
  <c r="X29" i="1"/>
  <c r="AA29" i="1"/>
  <c r="Y29" i="1"/>
  <c r="T33" i="2" l="1"/>
  <c r="T31" i="1"/>
  <c r="X30" i="1"/>
  <c r="AA30" i="1"/>
  <c r="Y30" i="1"/>
  <c r="T34" i="2" l="1"/>
  <c r="T32" i="1"/>
  <c r="X31" i="1"/>
  <c r="AA31" i="1"/>
  <c r="Y31" i="1"/>
  <c r="T35" i="2" l="1"/>
  <c r="T33" i="1"/>
  <c r="X32" i="1"/>
  <c r="AA32" i="1"/>
  <c r="Y32" i="1"/>
  <c r="T36" i="2" l="1"/>
  <c r="T34" i="1"/>
  <c r="X33" i="1"/>
  <c r="AA33" i="1"/>
  <c r="Y33" i="1"/>
  <c r="T37" i="2" l="1"/>
  <c r="T35" i="1"/>
  <c r="X34" i="1"/>
  <c r="AA34" i="1"/>
  <c r="Y34" i="1"/>
  <c r="T38" i="2" l="1"/>
  <c r="X35" i="1"/>
  <c r="AA35" i="1"/>
  <c r="Y35" i="1"/>
  <c r="T39" i="2" l="1"/>
  <c r="T40" i="2" l="1"/>
  <c r="T41" i="2" l="1"/>
  <c r="T42" i="2" l="1"/>
  <c r="T43" i="2" l="1"/>
  <c r="T44" i="2" l="1"/>
  <c r="T45" i="2" l="1"/>
  <c r="T46" i="2" l="1"/>
  <c r="T47" i="2" l="1"/>
  <c r="T48" i="2" l="1"/>
  <c r="T49" i="2" l="1"/>
  <c r="T50" i="2" l="1"/>
  <c r="T51" i="2" l="1"/>
  <c r="T52" i="2" l="1"/>
  <c r="T53" i="2" l="1"/>
  <c r="T54" i="2" l="1"/>
  <c r="T55" i="2" l="1"/>
  <c r="T56" i="2" l="1"/>
  <c r="T57" i="2" l="1"/>
  <c r="T58" i="2" l="1"/>
  <c r="T59" i="2" l="1"/>
  <c r="T60" i="2" l="1"/>
  <c r="T61" i="2" l="1"/>
  <c r="T62" i="2" l="1"/>
  <c r="T63" i="2" l="1"/>
  <c r="T64" i="2" l="1"/>
  <c r="T65" i="2" l="1"/>
  <c r="T66" i="2" l="1"/>
  <c r="T67" i="2" l="1"/>
  <c r="T68" i="2" l="1"/>
  <c r="T69" i="2" l="1"/>
  <c r="T70" i="2" l="1"/>
  <c r="T71" i="2" l="1"/>
  <c r="T72" i="2" l="1"/>
  <c r="T73" i="2" l="1"/>
  <c r="T74" i="2" l="1"/>
  <c r="T75" i="2" l="1"/>
  <c r="T76" i="2" l="1"/>
  <c r="T77" i="2" l="1"/>
  <c r="T78" i="2" l="1"/>
  <c r="T79" i="2" l="1"/>
  <c r="T80" i="2" l="1"/>
  <c r="T81" i="2" l="1"/>
  <c r="T82" i="2" l="1"/>
  <c r="T83" i="2" l="1"/>
  <c r="T84" i="2" l="1"/>
  <c r="T85" i="2" l="1"/>
  <c r="T86" i="2" l="1"/>
  <c r="T87" i="2" l="1"/>
</calcChain>
</file>

<file path=xl/sharedStrings.xml><?xml version="1.0" encoding="utf-8"?>
<sst xmlns="http://schemas.openxmlformats.org/spreadsheetml/2006/main" count="105" uniqueCount="36">
  <si>
    <t>#</t>
  </si>
  <si>
    <t>PC</t>
  </si>
  <si>
    <t>PC-0</t>
  </si>
  <si>
    <t>PC-1</t>
  </si>
  <si>
    <t>PC-2</t>
  </si>
  <si>
    <t>PC-3</t>
  </si>
  <si>
    <t>PC-4</t>
  </si>
  <si>
    <t>PC-5</t>
  </si>
  <si>
    <t>PC-6</t>
  </si>
  <si>
    <t>PC-7</t>
  </si>
  <si>
    <t>PC-8</t>
  </si>
  <si>
    <t>PC-9</t>
  </si>
  <si>
    <t>PC-10</t>
  </si>
  <si>
    <t>PC-11</t>
  </si>
  <si>
    <t>PC-12</t>
  </si>
  <si>
    <t>PC-13</t>
  </si>
  <si>
    <t>PC-14</t>
  </si>
  <si>
    <t>PC-15</t>
  </si>
  <si>
    <t>PC-16</t>
  </si>
  <si>
    <t>PC-17</t>
  </si>
  <si>
    <t>PC-18</t>
  </si>
  <si>
    <t>PC-19</t>
  </si>
  <si>
    <t>PC-20</t>
  </si>
  <si>
    <t>PC-21</t>
  </si>
  <si>
    <t>PC-22</t>
  </si>
  <si>
    <t>PC-23</t>
  </si>
  <si>
    <t>Direccion IP</t>
  </si>
  <si>
    <t>Netmask</t>
  </si>
  <si>
    <t>Gateway</t>
  </si>
  <si>
    <t>Piso</t>
  </si>
  <si>
    <t>RED</t>
  </si>
  <si>
    <t>255.255.255.0</t>
  </si>
  <si>
    <t>Edificio</t>
  </si>
  <si>
    <t>Edificio #1</t>
  </si>
  <si>
    <t>Edificio #2</t>
  </si>
  <si>
    <t>Edificio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</si>
</sst>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A127"/>
  <sheetViews>
    <sheetView workbookViewId="0">
      <selection activeCell="Y86" sqref="Y86"/>
    </sheetView>
  </sheetViews>
  <sheetFormatPr baseColWidth="10" defaultRowHeight="15" x14ac:dyDescent="0.2"/>
  <cols>
    <col min="2" max="2" width="9.5" bestFit="1" customWidth="1"/>
    <col min="3" max="3" width="6.1640625" bestFit="1" customWidth="1"/>
    <col min="4" max="4" width="6.5" bestFit="1" customWidth="1"/>
    <col min="5" max="5" width="2.5" bestFit="1" customWidth="1"/>
    <col min="6" max="6" width="12.6640625" bestFit="1" customWidth="1"/>
    <col min="7" max="7" width="14.5" bestFit="1" customWidth="1"/>
    <col min="8" max="8" width="14.1640625" bestFit="1" customWidth="1"/>
    <col min="9" max="9" width="10.6640625" bestFit="1" customWidth="1"/>
    <col min="11" max="11" width="9.5" bestFit="1" customWidth="1"/>
    <col min="12" max="12" width="6.1640625" bestFit="1" customWidth="1"/>
    <col min="13" max="13" width="6.5" bestFit="1" customWidth="1"/>
    <col min="14" max="14" width="2.5" bestFit="1" customWidth="1"/>
    <col min="15" max="15" width="12.6640625" bestFit="1" customWidth="1"/>
    <col min="16" max="16" width="14.5" bestFit="1" customWidth="1"/>
    <col min="17" max="17" width="14.1640625" bestFit="1" customWidth="1"/>
    <col min="18" max="18" width="10.6640625" bestFit="1" customWidth="1"/>
    <col min="20" max="20" width="9.5" bestFit="1" customWidth="1"/>
    <col min="21" max="21" width="6.1640625" bestFit="1" customWidth="1"/>
    <col min="22" max="22" width="7.5" bestFit="1" customWidth="1"/>
    <col min="23" max="23" width="2.5" bestFit="1" customWidth="1"/>
    <col min="24" max="24" width="13.83203125" bestFit="1" customWidth="1"/>
    <col min="25" max="25" width="14.5" bestFit="1" customWidth="1"/>
    <col min="26" max="26" width="14.1640625" bestFit="1" customWidth="1"/>
    <col min="27" max="27" width="10.6640625" bestFit="1" customWidth="1"/>
  </cols>
  <sheetData>
    <row r="2" spans="2:27" ht="18" x14ac:dyDescent="0.2">
      <c r="B2" s="4" t="s">
        <v>33</v>
      </c>
      <c r="C2" s="4"/>
      <c r="D2" s="4"/>
      <c r="E2" s="4"/>
      <c r="F2" s="4"/>
      <c r="G2" s="4"/>
      <c r="H2" s="4"/>
      <c r="I2" s="4"/>
      <c r="K2" s="4" t="s">
        <v>34</v>
      </c>
      <c r="L2" s="4"/>
      <c r="M2" s="4"/>
      <c r="N2" s="4"/>
      <c r="O2" s="4"/>
      <c r="P2" s="4"/>
      <c r="Q2" s="4"/>
      <c r="R2" s="4"/>
      <c r="T2" s="4" t="s">
        <v>35</v>
      </c>
      <c r="U2" s="4"/>
      <c r="V2" s="4"/>
      <c r="W2" s="4"/>
      <c r="X2" s="4"/>
      <c r="Y2" s="4"/>
      <c r="Z2" s="4"/>
      <c r="AA2" s="4"/>
    </row>
    <row r="3" spans="2:27" ht="16" x14ac:dyDescent="0.2">
      <c r="B3" s="1" t="s">
        <v>32</v>
      </c>
      <c r="C3" s="1" t="s">
        <v>29</v>
      </c>
      <c r="D3" s="1" t="s">
        <v>1</v>
      </c>
      <c r="E3" s="1" t="s">
        <v>0</v>
      </c>
      <c r="F3" s="1" t="s">
        <v>30</v>
      </c>
      <c r="G3" s="1" t="s">
        <v>26</v>
      </c>
      <c r="H3" s="1" t="s">
        <v>27</v>
      </c>
      <c r="I3" s="1" t="s">
        <v>28</v>
      </c>
      <c r="K3" s="1" t="s">
        <v>32</v>
      </c>
      <c r="L3" s="1" t="s">
        <v>29</v>
      </c>
      <c r="M3" s="1" t="s">
        <v>1</v>
      </c>
      <c r="N3" s="1" t="s">
        <v>0</v>
      </c>
      <c r="O3" s="1" t="s">
        <v>30</v>
      </c>
      <c r="P3" s="1" t="s">
        <v>26</v>
      </c>
      <c r="Q3" s="1" t="s">
        <v>27</v>
      </c>
      <c r="R3" s="1" t="s">
        <v>28</v>
      </c>
      <c r="T3" s="1" t="s">
        <v>32</v>
      </c>
      <c r="U3" s="1" t="s">
        <v>29</v>
      </c>
      <c r="V3" s="1" t="s">
        <v>1</v>
      </c>
      <c r="W3" s="1" t="s">
        <v>0</v>
      </c>
      <c r="X3" s="1" t="s">
        <v>30</v>
      </c>
      <c r="Y3" s="1" t="s">
        <v>26</v>
      </c>
      <c r="Z3" s="1" t="s">
        <v>27</v>
      </c>
      <c r="AA3" s="1" t="s">
        <v>28</v>
      </c>
    </row>
    <row r="4" spans="2:27" ht="16" x14ac:dyDescent="0.2">
      <c r="B4" s="2">
        <v>1</v>
      </c>
      <c r="C4" s="2">
        <v>0</v>
      </c>
      <c r="D4" s="2" t="s">
        <v>2</v>
      </c>
      <c r="E4" s="2">
        <v>1</v>
      </c>
      <c r="F4" s="2" t="str">
        <f>_xlfn.CONCAT("172.",B4,".",C4,".0/24")</f>
        <v>172.1.0.0/24</v>
      </c>
      <c r="G4" s="2" t="str">
        <f>_xlfn.CONCAT("172.",B4,".",C4,".",E4 + 1)</f>
        <v>172.1.0.2</v>
      </c>
      <c r="H4" s="2" t="s">
        <v>31</v>
      </c>
      <c r="I4" s="2" t="str">
        <f>_xlfn.CONCAT("172.",B4,".",C4,".1")</f>
        <v>172.1.0.1</v>
      </c>
      <c r="K4" s="2">
        <v>2</v>
      </c>
      <c r="L4" s="2">
        <v>0</v>
      </c>
      <c r="M4" s="2" t="str">
        <f>_xlfn.CONCAT("PC-",MID(D27,FIND("-",D27)+ 1, LEN(D27))+1)</f>
        <v>PC-24</v>
      </c>
      <c r="N4" s="2">
        <v>1</v>
      </c>
      <c r="O4" s="2" t="str">
        <f>_xlfn.CONCAT("172.",K4,".",L4,".0/24")</f>
        <v>172.2.0.0/24</v>
      </c>
      <c r="P4" s="2" t="str">
        <f>_xlfn.CONCAT("172.",K4,".",L4,".",N4 + 1)</f>
        <v>172.2.0.2</v>
      </c>
      <c r="Q4" s="2" t="s">
        <v>31</v>
      </c>
      <c r="R4" s="2" t="str">
        <f>_xlfn.CONCAT("172.",K4,".",L4,".1")</f>
        <v>172.2.0.1</v>
      </c>
      <c r="T4" s="2">
        <v>3</v>
      </c>
      <c r="U4" s="2">
        <v>0</v>
      </c>
      <c r="V4" s="2" t="str">
        <f>_xlfn.CONCAT("PC-",MID(M31,FIND("-",M31)+ 1, LEN(M31))+1)</f>
        <v>PC-52</v>
      </c>
      <c r="W4" s="2">
        <v>1</v>
      </c>
      <c r="X4" s="2" t="str">
        <f>_xlfn.CONCAT("172.",T4,".",U4,".0/24")</f>
        <v>172.3.0.0/24</v>
      </c>
      <c r="Y4" s="2" t="str">
        <f>_xlfn.CONCAT("172.",T4,".",U4,".",W4 + 1)</f>
        <v>172.3.0.2</v>
      </c>
      <c r="Z4" s="2" t="s">
        <v>31</v>
      </c>
      <c r="AA4" s="2" t="str">
        <f>_xlfn.CONCAT("172.",T4,".",U4,".1")</f>
        <v>172.3.0.1</v>
      </c>
    </row>
    <row r="5" spans="2:27" ht="16" x14ac:dyDescent="0.2">
      <c r="B5" s="2">
        <f>B4</f>
        <v>1</v>
      </c>
      <c r="C5" s="2">
        <v>0</v>
      </c>
      <c r="D5" s="2" t="s">
        <v>3</v>
      </c>
      <c r="E5" s="2">
        <v>2</v>
      </c>
      <c r="F5" s="2" t="str">
        <f t="shared" ref="F5:F27" si="0">_xlfn.CONCAT("172.",B5,".",C5,".0/24")</f>
        <v>172.1.0.0/24</v>
      </c>
      <c r="G5" s="2" t="str">
        <f t="shared" ref="G5:G27" si="1">_xlfn.CONCAT("172.",B5,".",C5,".",E5 + 1)</f>
        <v>172.1.0.3</v>
      </c>
      <c r="H5" s="2" t="str">
        <f>H4</f>
        <v>255.255.255.0</v>
      </c>
      <c r="I5" s="2" t="str">
        <f t="shared" ref="I5:I27" si="2">_xlfn.CONCAT("172.",B5,".",C5,".1")</f>
        <v>172.1.0.1</v>
      </c>
      <c r="K5" s="2">
        <f>K4</f>
        <v>2</v>
      </c>
      <c r="L5" s="2">
        <v>0</v>
      </c>
      <c r="M5" s="2" t="str">
        <f>_xlfn.CONCAT("PC-",MID(M4,FIND("-",M4)+ 1, LEN(M4))+1)</f>
        <v>PC-25</v>
      </c>
      <c r="N5" s="2">
        <v>2</v>
      </c>
      <c r="O5" s="2" t="str">
        <f t="shared" ref="O5:O27" si="3">_xlfn.CONCAT("172.",K5,".",L5,".0/24")</f>
        <v>172.2.0.0/24</v>
      </c>
      <c r="P5" s="2" t="str">
        <f t="shared" ref="P5:P27" si="4">_xlfn.CONCAT("172.",K5,".",L5,".",N5 + 1)</f>
        <v>172.2.0.3</v>
      </c>
      <c r="Q5" s="2" t="str">
        <f>Q4</f>
        <v>255.255.255.0</v>
      </c>
      <c r="R5" s="2" t="str">
        <f t="shared" ref="R5:R27" si="5">_xlfn.CONCAT("172.",K5,".",L5,".1")</f>
        <v>172.2.0.1</v>
      </c>
      <c r="T5" s="2">
        <f>T4</f>
        <v>3</v>
      </c>
      <c r="U5" s="2">
        <v>0</v>
      </c>
      <c r="V5" s="2" t="str">
        <f>_xlfn.CONCAT("PC-",MID(V4,FIND("-",V4)+ 1, LEN(V4))+1)</f>
        <v>PC-53</v>
      </c>
      <c r="W5" s="2">
        <v>2</v>
      </c>
      <c r="X5" s="2" t="str">
        <f t="shared" ref="X5:X35" si="6">_xlfn.CONCAT("172.",T5,".",U5,".0/24")</f>
        <v>172.3.0.0/24</v>
      </c>
      <c r="Y5" s="2" t="str">
        <f t="shared" ref="Y5:Y35" si="7">_xlfn.CONCAT("172.",T5,".",U5,".",W5 + 1)</f>
        <v>172.3.0.3</v>
      </c>
      <c r="Z5" s="2" t="str">
        <f>Z4</f>
        <v>255.255.255.0</v>
      </c>
      <c r="AA5" s="2" t="str">
        <f t="shared" ref="AA5:AA35" si="8">_xlfn.CONCAT("172.",T5,".",U5,".1")</f>
        <v>172.3.0.1</v>
      </c>
    </row>
    <row r="6" spans="2:27" ht="16" x14ac:dyDescent="0.2">
      <c r="B6" s="2">
        <f t="shared" ref="B6:B27" si="9">B5</f>
        <v>1</v>
      </c>
      <c r="C6" s="2">
        <v>0</v>
      </c>
      <c r="D6" s="2" t="s">
        <v>4</v>
      </c>
      <c r="E6" s="2">
        <v>3</v>
      </c>
      <c r="F6" s="2" t="str">
        <f t="shared" si="0"/>
        <v>172.1.0.0/24</v>
      </c>
      <c r="G6" s="2" t="str">
        <f t="shared" si="1"/>
        <v>172.1.0.4</v>
      </c>
      <c r="H6" s="2" t="str">
        <f t="shared" ref="H6:H27" si="10">H5</f>
        <v>255.255.255.0</v>
      </c>
      <c r="I6" s="2" t="str">
        <f t="shared" si="2"/>
        <v>172.1.0.1</v>
      </c>
      <c r="K6" s="2">
        <f t="shared" ref="K6:K31" si="11">K5</f>
        <v>2</v>
      </c>
      <c r="L6" s="2">
        <v>0</v>
      </c>
      <c r="M6" s="2" t="str">
        <f t="shared" ref="M6:M27" si="12">_xlfn.CONCAT("PC-",MID(M5,FIND("-",M5)+ 1, LEN(M5))+1)</f>
        <v>PC-26</v>
      </c>
      <c r="N6" s="2">
        <v>3</v>
      </c>
      <c r="O6" s="2" t="str">
        <f t="shared" si="3"/>
        <v>172.2.0.0/24</v>
      </c>
      <c r="P6" s="2" t="str">
        <f t="shared" si="4"/>
        <v>172.2.0.4</v>
      </c>
      <c r="Q6" s="2" t="str">
        <f t="shared" ref="Q6:Q27" si="13">Q5</f>
        <v>255.255.255.0</v>
      </c>
      <c r="R6" s="2" t="str">
        <f t="shared" si="5"/>
        <v>172.2.0.1</v>
      </c>
      <c r="T6" s="2">
        <f t="shared" ref="T6:T69" si="14">T5</f>
        <v>3</v>
      </c>
      <c r="U6" s="2">
        <v>0</v>
      </c>
      <c r="V6" s="2" t="str">
        <f t="shared" ref="V6:V69" si="15">_xlfn.CONCAT("PC-",MID(V5,FIND("-",V5)+ 1, LEN(V5))+1)</f>
        <v>PC-54</v>
      </c>
      <c r="W6" s="2">
        <v>3</v>
      </c>
      <c r="X6" s="2" t="str">
        <f t="shared" si="6"/>
        <v>172.3.0.0/24</v>
      </c>
      <c r="Y6" s="2" t="str">
        <f t="shared" si="7"/>
        <v>172.3.0.4</v>
      </c>
      <c r="Z6" s="2" t="str">
        <f t="shared" ref="Z6:Z69" si="16">Z5</f>
        <v>255.255.255.0</v>
      </c>
      <c r="AA6" s="2" t="str">
        <f t="shared" si="8"/>
        <v>172.3.0.1</v>
      </c>
    </row>
    <row r="7" spans="2:27" ht="16" x14ac:dyDescent="0.2">
      <c r="B7" s="2">
        <f t="shared" si="9"/>
        <v>1</v>
      </c>
      <c r="C7" s="2">
        <v>0</v>
      </c>
      <c r="D7" s="2" t="s">
        <v>5</v>
      </c>
      <c r="E7" s="2">
        <v>4</v>
      </c>
      <c r="F7" s="2" t="str">
        <f t="shared" si="0"/>
        <v>172.1.0.0/24</v>
      </c>
      <c r="G7" s="2" t="str">
        <f t="shared" si="1"/>
        <v>172.1.0.5</v>
      </c>
      <c r="H7" s="2" t="str">
        <f t="shared" si="10"/>
        <v>255.255.255.0</v>
      </c>
      <c r="I7" s="2" t="str">
        <f t="shared" si="2"/>
        <v>172.1.0.1</v>
      </c>
      <c r="K7" s="2">
        <f t="shared" si="11"/>
        <v>2</v>
      </c>
      <c r="L7" s="2">
        <v>0</v>
      </c>
      <c r="M7" s="2" t="str">
        <f t="shared" si="12"/>
        <v>PC-27</v>
      </c>
      <c r="N7" s="2">
        <v>4</v>
      </c>
      <c r="O7" s="2" t="str">
        <f t="shared" si="3"/>
        <v>172.2.0.0/24</v>
      </c>
      <c r="P7" s="2" t="str">
        <f t="shared" si="4"/>
        <v>172.2.0.5</v>
      </c>
      <c r="Q7" s="2" t="str">
        <f t="shared" si="13"/>
        <v>255.255.255.0</v>
      </c>
      <c r="R7" s="2" t="str">
        <f t="shared" si="5"/>
        <v>172.2.0.1</v>
      </c>
      <c r="T7" s="2">
        <f t="shared" si="14"/>
        <v>3</v>
      </c>
      <c r="U7" s="2">
        <v>0</v>
      </c>
      <c r="V7" s="2" t="str">
        <f t="shared" si="15"/>
        <v>PC-55</v>
      </c>
      <c r="W7" s="2">
        <v>4</v>
      </c>
      <c r="X7" s="2" t="str">
        <f t="shared" si="6"/>
        <v>172.3.0.0/24</v>
      </c>
      <c r="Y7" s="2" t="str">
        <f t="shared" si="7"/>
        <v>172.3.0.5</v>
      </c>
      <c r="Z7" s="2" t="str">
        <f t="shared" si="16"/>
        <v>255.255.255.0</v>
      </c>
      <c r="AA7" s="2" t="str">
        <f t="shared" si="8"/>
        <v>172.3.0.1</v>
      </c>
    </row>
    <row r="8" spans="2:27" ht="16" x14ac:dyDescent="0.2">
      <c r="B8" s="2">
        <f t="shared" si="9"/>
        <v>1</v>
      </c>
      <c r="C8" s="2">
        <f>C4+1</f>
        <v>1</v>
      </c>
      <c r="D8" s="2" t="s">
        <v>6</v>
      </c>
      <c r="E8" s="2">
        <f>E4</f>
        <v>1</v>
      </c>
      <c r="F8" s="2" t="str">
        <f t="shared" si="0"/>
        <v>172.1.1.0/24</v>
      </c>
      <c r="G8" s="2" t="str">
        <f t="shared" si="1"/>
        <v>172.1.1.2</v>
      </c>
      <c r="H8" s="2" t="str">
        <f t="shared" si="10"/>
        <v>255.255.255.0</v>
      </c>
      <c r="I8" s="2" t="str">
        <f t="shared" si="2"/>
        <v>172.1.1.1</v>
      </c>
      <c r="K8" s="2">
        <f t="shared" si="11"/>
        <v>2</v>
      </c>
      <c r="L8" s="2">
        <f>L4+1</f>
        <v>1</v>
      </c>
      <c r="M8" s="2" t="str">
        <f t="shared" si="12"/>
        <v>PC-28</v>
      </c>
      <c r="N8" s="2">
        <f>N4</f>
        <v>1</v>
      </c>
      <c r="O8" s="2" t="str">
        <f t="shared" si="3"/>
        <v>172.2.1.0/24</v>
      </c>
      <c r="P8" s="2" t="str">
        <f t="shared" si="4"/>
        <v>172.2.1.2</v>
      </c>
      <c r="Q8" s="2" t="str">
        <f t="shared" si="13"/>
        <v>255.255.255.0</v>
      </c>
      <c r="R8" s="2" t="str">
        <f t="shared" si="5"/>
        <v>172.2.1.1</v>
      </c>
      <c r="T8" s="2">
        <f t="shared" si="14"/>
        <v>3</v>
      </c>
      <c r="U8" s="2">
        <f>U4+1</f>
        <v>1</v>
      </c>
      <c r="V8" s="2" t="str">
        <f t="shared" si="15"/>
        <v>PC-56</v>
      </c>
      <c r="W8" s="2">
        <f>W4</f>
        <v>1</v>
      </c>
      <c r="X8" s="2" t="str">
        <f t="shared" si="6"/>
        <v>172.3.1.0/24</v>
      </c>
      <c r="Y8" s="2" t="str">
        <f t="shared" si="7"/>
        <v>172.3.1.2</v>
      </c>
      <c r="Z8" s="2" t="str">
        <f t="shared" si="16"/>
        <v>255.255.255.0</v>
      </c>
      <c r="AA8" s="2" t="str">
        <f t="shared" si="8"/>
        <v>172.3.1.1</v>
      </c>
    </row>
    <row r="9" spans="2:27" ht="16" x14ac:dyDescent="0.2">
      <c r="B9" s="2">
        <f t="shared" si="9"/>
        <v>1</v>
      </c>
      <c r="C9" s="2">
        <f t="shared" ref="C9:C27" si="17">C5+1</f>
        <v>1</v>
      </c>
      <c r="D9" s="2" t="s">
        <v>7</v>
      </c>
      <c r="E9" s="2">
        <f t="shared" ref="E9:E27" si="18">E5</f>
        <v>2</v>
      </c>
      <c r="F9" s="2" t="str">
        <f t="shared" si="0"/>
        <v>172.1.1.0/24</v>
      </c>
      <c r="G9" s="2" t="str">
        <f t="shared" si="1"/>
        <v>172.1.1.3</v>
      </c>
      <c r="H9" s="2" t="str">
        <f t="shared" si="10"/>
        <v>255.255.255.0</v>
      </c>
      <c r="I9" s="2" t="str">
        <f t="shared" si="2"/>
        <v>172.1.1.1</v>
      </c>
      <c r="K9" s="2">
        <f t="shared" si="11"/>
        <v>2</v>
      </c>
      <c r="L9" s="2">
        <f t="shared" ref="L9:L31" si="19">L5+1</f>
        <v>1</v>
      </c>
      <c r="M9" s="2" t="str">
        <f t="shared" si="12"/>
        <v>PC-29</v>
      </c>
      <c r="N9" s="2">
        <f t="shared" ref="N9:N31" si="20">N5</f>
        <v>2</v>
      </c>
      <c r="O9" s="2" t="str">
        <f t="shared" si="3"/>
        <v>172.2.1.0/24</v>
      </c>
      <c r="P9" s="2" t="str">
        <f t="shared" si="4"/>
        <v>172.2.1.3</v>
      </c>
      <c r="Q9" s="2" t="str">
        <f t="shared" si="13"/>
        <v>255.255.255.0</v>
      </c>
      <c r="R9" s="2" t="str">
        <f t="shared" si="5"/>
        <v>172.2.1.1</v>
      </c>
      <c r="T9" s="2">
        <f t="shared" si="14"/>
        <v>3</v>
      </c>
      <c r="U9" s="2">
        <f t="shared" ref="U9:U72" si="21">U5+1</f>
        <v>1</v>
      </c>
      <c r="V9" s="2" t="str">
        <f t="shared" si="15"/>
        <v>PC-57</v>
      </c>
      <c r="W9" s="2">
        <f t="shared" ref="W9:W72" si="22">W5</f>
        <v>2</v>
      </c>
      <c r="X9" s="2" t="str">
        <f t="shared" si="6"/>
        <v>172.3.1.0/24</v>
      </c>
      <c r="Y9" s="2" t="str">
        <f t="shared" si="7"/>
        <v>172.3.1.3</v>
      </c>
      <c r="Z9" s="2" t="str">
        <f t="shared" si="16"/>
        <v>255.255.255.0</v>
      </c>
      <c r="AA9" s="2" t="str">
        <f t="shared" si="8"/>
        <v>172.3.1.1</v>
      </c>
    </row>
    <row r="10" spans="2:27" ht="16" x14ac:dyDescent="0.2">
      <c r="B10" s="2">
        <f t="shared" si="9"/>
        <v>1</v>
      </c>
      <c r="C10" s="2">
        <f t="shared" si="17"/>
        <v>1</v>
      </c>
      <c r="D10" s="2" t="s">
        <v>8</v>
      </c>
      <c r="E10" s="2">
        <f t="shared" si="18"/>
        <v>3</v>
      </c>
      <c r="F10" s="2" t="str">
        <f t="shared" si="0"/>
        <v>172.1.1.0/24</v>
      </c>
      <c r="G10" s="2" t="str">
        <f t="shared" si="1"/>
        <v>172.1.1.4</v>
      </c>
      <c r="H10" s="2" t="str">
        <f t="shared" si="10"/>
        <v>255.255.255.0</v>
      </c>
      <c r="I10" s="2" t="str">
        <f t="shared" si="2"/>
        <v>172.1.1.1</v>
      </c>
      <c r="K10" s="2">
        <f t="shared" si="11"/>
        <v>2</v>
      </c>
      <c r="L10" s="2">
        <f t="shared" si="19"/>
        <v>1</v>
      </c>
      <c r="M10" s="2" t="str">
        <f t="shared" si="12"/>
        <v>PC-30</v>
      </c>
      <c r="N10" s="2">
        <f t="shared" si="20"/>
        <v>3</v>
      </c>
      <c r="O10" s="2" t="str">
        <f t="shared" si="3"/>
        <v>172.2.1.0/24</v>
      </c>
      <c r="P10" s="2" t="str">
        <f t="shared" si="4"/>
        <v>172.2.1.4</v>
      </c>
      <c r="Q10" s="2" t="str">
        <f t="shared" si="13"/>
        <v>255.255.255.0</v>
      </c>
      <c r="R10" s="2" t="str">
        <f t="shared" si="5"/>
        <v>172.2.1.1</v>
      </c>
      <c r="T10" s="2">
        <f t="shared" si="14"/>
        <v>3</v>
      </c>
      <c r="U10" s="2">
        <f t="shared" si="21"/>
        <v>1</v>
      </c>
      <c r="V10" s="2" t="str">
        <f t="shared" si="15"/>
        <v>PC-58</v>
      </c>
      <c r="W10" s="2">
        <f t="shared" si="22"/>
        <v>3</v>
      </c>
      <c r="X10" s="2" t="str">
        <f t="shared" si="6"/>
        <v>172.3.1.0/24</v>
      </c>
      <c r="Y10" s="2" t="str">
        <f t="shared" si="7"/>
        <v>172.3.1.4</v>
      </c>
      <c r="Z10" s="2" t="str">
        <f t="shared" si="16"/>
        <v>255.255.255.0</v>
      </c>
      <c r="AA10" s="2" t="str">
        <f t="shared" si="8"/>
        <v>172.3.1.1</v>
      </c>
    </row>
    <row r="11" spans="2:27" ht="16" x14ac:dyDescent="0.2">
      <c r="B11" s="2">
        <f t="shared" si="9"/>
        <v>1</v>
      </c>
      <c r="C11" s="2">
        <f t="shared" si="17"/>
        <v>1</v>
      </c>
      <c r="D11" s="2" t="s">
        <v>9</v>
      </c>
      <c r="E11" s="2">
        <f t="shared" si="18"/>
        <v>4</v>
      </c>
      <c r="F11" s="2" t="str">
        <f t="shared" si="0"/>
        <v>172.1.1.0/24</v>
      </c>
      <c r="G11" s="2" t="str">
        <f t="shared" si="1"/>
        <v>172.1.1.5</v>
      </c>
      <c r="H11" s="2" t="str">
        <f t="shared" si="10"/>
        <v>255.255.255.0</v>
      </c>
      <c r="I11" s="2" t="str">
        <f t="shared" si="2"/>
        <v>172.1.1.1</v>
      </c>
      <c r="K11" s="2">
        <f t="shared" si="11"/>
        <v>2</v>
      </c>
      <c r="L11" s="2">
        <f t="shared" si="19"/>
        <v>1</v>
      </c>
      <c r="M11" s="2" t="str">
        <f t="shared" si="12"/>
        <v>PC-31</v>
      </c>
      <c r="N11" s="2">
        <f t="shared" si="20"/>
        <v>4</v>
      </c>
      <c r="O11" s="2" t="str">
        <f t="shared" si="3"/>
        <v>172.2.1.0/24</v>
      </c>
      <c r="P11" s="2" t="str">
        <f t="shared" si="4"/>
        <v>172.2.1.5</v>
      </c>
      <c r="Q11" s="2" t="str">
        <f t="shared" si="13"/>
        <v>255.255.255.0</v>
      </c>
      <c r="R11" s="2" t="str">
        <f t="shared" si="5"/>
        <v>172.2.1.1</v>
      </c>
      <c r="T11" s="2">
        <f t="shared" si="14"/>
        <v>3</v>
      </c>
      <c r="U11" s="2">
        <f t="shared" si="21"/>
        <v>1</v>
      </c>
      <c r="V11" s="2" t="str">
        <f t="shared" si="15"/>
        <v>PC-59</v>
      </c>
      <c r="W11" s="2">
        <f t="shared" si="22"/>
        <v>4</v>
      </c>
      <c r="X11" s="2" t="str">
        <f t="shared" si="6"/>
        <v>172.3.1.0/24</v>
      </c>
      <c r="Y11" s="2" t="str">
        <f t="shared" si="7"/>
        <v>172.3.1.5</v>
      </c>
      <c r="Z11" s="2" t="str">
        <f t="shared" si="16"/>
        <v>255.255.255.0</v>
      </c>
      <c r="AA11" s="2" t="str">
        <f t="shared" si="8"/>
        <v>172.3.1.1</v>
      </c>
    </row>
    <row r="12" spans="2:27" ht="16" x14ac:dyDescent="0.2">
      <c r="B12" s="2">
        <f t="shared" si="9"/>
        <v>1</v>
      </c>
      <c r="C12" s="2">
        <f>C8+1</f>
        <v>2</v>
      </c>
      <c r="D12" s="2" t="s">
        <v>10</v>
      </c>
      <c r="E12" s="2">
        <f t="shared" si="18"/>
        <v>1</v>
      </c>
      <c r="F12" s="2" t="str">
        <f t="shared" si="0"/>
        <v>172.1.2.0/24</v>
      </c>
      <c r="G12" s="2" t="str">
        <f t="shared" si="1"/>
        <v>172.1.2.2</v>
      </c>
      <c r="H12" s="2" t="str">
        <f t="shared" si="10"/>
        <v>255.255.255.0</v>
      </c>
      <c r="I12" s="2" t="str">
        <f t="shared" si="2"/>
        <v>172.1.2.1</v>
      </c>
      <c r="K12" s="2">
        <f t="shared" si="11"/>
        <v>2</v>
      </c>
      <c r="L12" s="2">
        <f>L8+1</f>
        <v>2</v>
      </c>
      <c r="M12" s="2" t="str">
        <f t="shared" si="12"/>
        <v>PC-32</v>
      </c>
      <c r="N12" s="2">
        <f t="shared" si="20"/>
        <v>1</v>
      </c>
      <c r="O12" s="2" t="str">
        <f t="shared" si="3"/>
        <v>172.2.2.0/24</v>
      </c>
      <c r="P12" s="2" t="str">
        <f t="shared" si="4"/>
        <v>172.2.2.2</v>
      </c>
      <c r="Q12" s="2" t="str">
        <f t="shared" si="13"/>
        <v>255.255.255.0</v>
      </c>
      <c r="R12" s="2" t="str">
        <f t="shared" si="5"/>
        <v>172.2.2.1</v>
      </c>
      <c r="T12" s="2">
        <f t="shared" si="14"/>
        <v>3</v>
      </c>
      <c r="U12" s="2">
        <f>U8+1</f>
        <v>2</v>
      </c>
      <c r="V12" s="2" t="str">
        <f t="shared" si="15"/>
        <v>PC-60</v>
      </c>
      <c r="W12" s="2">
        <f t="shared" si="22"/>
        <v>1</v>
      </c>
      <c r="X12" s="2" t="str">
        <f t="shared" si="6"/>
        <v>172.3.2.0/24</v>
      </c>
      <c r="Y12" s="2" t="str">
        <f t="shared" si="7"/>
        <v>172.3.2.2</v>
      </c>
      <c r="Z12" s="2" t="str">
        <f t="shared" si="16"/>
        <v>255.255.255.0</v>
      </c>
      <c r="AA12" s="2" t="str">
        <f t="shared" si="8"/>
        <v>172.3.2.1</v>
      </c>
    </row>
    <row r="13" spans="2:27" ht="16" x14ac:dyDescent="0.2">
      <c r="B13" s="2">
        <f t="shared" si="9"/>
        <v>1</v>
      </c>
      <c r="C13" s="2">
        <f t="shared" si="17"/>
        <v>2</v>
      </c>
      <c r="D13" s="2" t="s">
        <v>11</v>
      </c>
      <c r="E13" s="2">
        <f t="shared" si="18"/>
        <v>2</v>
      </c>
      <c r="F13" s="2" t="str">
        <f t="shared" si="0"/>
        <v>172.1.2.0/24</v>
      </c>
      <c r="G13" s="2" t="str">
        <f t="shared" si="1"/>
        <v>172.1.2.3</v>
      </c>
      <c r="H13" s="2" t="str">
        <f t="shared" si="10"/>
        <v>255.255.255.0</v>
      </c>
      <c r="I13" s="2" t="str">
        <f t="shared" si="2"/>
        <v>172.1.2.1</v>
      </c>
      <c r="K13" s="2">
        <f t="shared" si="11"/>
        <v>2</v>
      </c>
      <c r="L13" s="2">
        <f t="shared" si="19"/>
        <v>2</v>
      </c>
      <c r="M13" s="2" t="str">
        <f t="shared" si="12"/>
        <v>PC-33</v>
      </c>
      <c r="N13" s="2">
        <f t="shared" si="20"/>
        <v>2</v>
      </c>
      <c r="O13" s="2" t="str">
        <f t="shared" si="3"/>
        <v>172.2.2.0/24</v>
      </c>
      <c r="P13" s="2" t="str">
        <f t="shared" si="4"/>
        <v>172.2.2.3</v>
      </c>
      <c r="Q13" s="2" t="str">
        <f t="shared" si="13"/>
        <v>255.255.255.0</v>
      </c>
      <c r="R13" s="2" t="str">
        <f t="shared" si="5"/>
        <v>172.2.2.1</v>
      </c>
      <c r="T13" s="2">
        <f t="shared" si="14"/>
        <v>3</v>
      </c>
      <c r="U13" s="2">
        <f t="shared" si="21"/>
        <v>2</v>
      </c>
      <c r="V13" s="2" t="str">
        <f t="shared" si="15"/>
        <v>PC-61</v>
      </c>
      <c r="W13" s="2">
        <f t="shared" si="22"/>
        <v>2</v>
      </c>
      <c r="X13" s="2" t="str">
        <f t="shared" si="6"/>
        <v>172.3.2.0/24</v>
      </c>
      <c r="Y13" s="2" t="str">
        <f t="shared" si="7"/>
        <v>172.3.2.3</v>
      </c>
      <c r="Z13" s="2" t="str">
        <f t="shared" si="16"/>
        <v>255.255.255.0</v>
      </c>
      <c r="AA13" s="2" t="str">
        <f t="shared" si="8"/>
        <v>172.3.2.1</v>
      </c>
    </row>
    <row r="14" spans="2:27" ht="16" x14ac:dyDescent="0.2">
      <c r="B14" s="2">
        <f t="shared" si="9"/>
        <v>1</v>
      </c>
      <c r="C14" s="2">
        <f t="shared" si="17"/>
        <v>2</v>
      </c>
      <c r="D14" s="2" t="s">
        <v>12</v>
      </c>
      <c r="E14" s="2">
        <f t="shared" si="18"/>
        <v>3</v>
      </c>
      <c r="F14" s="2" t="str">
        <f t="shared" si="0"/>
        <v>172.1.2.0/24</v>
      </c>
      <c r="G14" s="2" t="str">
        <f t="shared" si="1"/>
        <v>172.1.2.4</v>
      </c>
      <c r="H14" s="2" t="str">
        <f t="shared" si="10"/>
        <v>255.255.255.0</v>
      </c>
      <c r="I14" s="2" t="str">
        <f t="shared" si="2"/>
        <v>172.1.2.1</v>
      </c>
      <c r="K14" s="2">
        <f t="shared" si="11"/>
        <v>2</v>
      </c>
      <c r="L14" s="2">
        <f t="shared" si="19"/>
        <v>2</v>
      </c>
      <c r="M14" s="2" t="str">
        <f t="shared" si="12"/>
        <v>PC-34</v>
      </c>
      <c r="N14" s="2">
        <f t="shared" si="20"/>
        <v>3</v>
      </c>
      <c r="O14" s="2" t="str">
        <f t="shared" si="3"/>
        <v>172.2.2.0/24</v>
      </c>
      <c r="P14" s="2" t="str">
        <f t="shared" si="4"/>
        <v>172.2.2.4</v>
      </c>
      <c r="Q14" s="2" t="str">
        <f t="shared" si="13"/>
        <v>255.255.255.0</v>
      </c>
      <c r="R14" s="2" t="str">
        <f t="shared" si="5"/>
        <v>172.2.2.1</v>
      </c>
      <c r="T14" s="2">
        <f t="shared" si="14"/>
        <v>3</v>
      </c>
      <c r="U14" s="2">
        <f t="shared" si="21"/>
        <v>2</v>
      </c>
      <c r="V14" s="2" t="str">
        <f t="shared" si="15"/>
        <v>PC-62</v>
      </c>
      <c r="W14" s="2">
        <f t="shared" si="22"/>
        <v>3</v>
      </c>
      <c r="X14" s="2" t="str">
        <f t="shared" si="6"/>
        <v>172.3.2.0/24</v>
      </c>
      <c r="Y14" s="2" t="str">
        <f t="shared" si="7"/>
        <v>172.3.2.4</v>
      </c>
      <c r="Z14" s="2" t="str">
        <f t="shared" si="16"/>
        <v>255.255.255.0</v>
      </c>
      <c r="AA14" s="2" t="str">
        <f t="shared" si="8"/>
        <v>172.3.2.1</v>
      </c>
    </row>
    <row r="15" spans="2:27" ht="16" x14ac:dyDescent="0.2">
      <c r="B15" s="2">
        <f t="shared" si="9"/>
        <v>1</v>
      </c>
      <c r="C15" s="2">
        <f t="shared" si="17"/>
        <v>2</v>
      </c>
      <c r="D15" s="2" t="s">
        <v>13</v>
      </c>
      <c r="E15" s="2">
        <f t="shared" si="18"/>
        <v>4</v>
      </c>
      <c r="F15" s="2" t="str">
        <f t="shared" si="0"/>
        <v>172.1.2.0/24</v>
      </c>
      <c r="G15" s="2" t="str">
        <f t="shared" si="1"/>
        <v>172.1.2.5</v>
      </c>
      <c r="H15" s="2" t="str">
        <f t="shared" si="10"/>
        <v>255.255.255.0</v>
      </c>
      <c r="I15" s="2" t="str">
        <f t="shared" si="2"/>
        <v>172.1.2.1</v>
      </c>
      <c r="K15" s="2">
        <f t="shared" si="11"/>
        <v>2</v>
      </c>
      <c r="L15" s="2">
        <f t="shared" si="19"/>
        <v>2</v>
      </c>
      <c r="M15" s="2" t="str">
        <f t="shared" si="12"/>
        <v>PC-35</v>
      </c>
      <c r="N15" s="2">
        <f t="shared" si="20"/>
        <v>4</v>
      </c>
      <c r="O15" s="2" t="str">
        <f t="shared" si="3"/>
        <v>172.2.2.0/24</v>
      </c>
      <c r="P15" s="2" t="str">
        <f t="shared" si="4"/>
        <v>172.2.2.5</v>
      </c>
      <c r="Q15" s="2" t="str">
        <f t="shared" si="13"/>
        <v>255.255.255.0</v>
      </c>
      <c r="R15" s="2" t="str">
        <f t="shared" si="5"/>
        <v>172.2.2.1</v>
      </c>
      <c r="T15" s="2">
        <f t="shared" si="14"/>
        <v>3</v>
      </c>
      <c r="U15" s="2">
        <f t="shared" si="21"/>
        <v>2</v>
      </c>
      <c r="V15" s="2" t="str">
        <f t="shared" si="15"/>
        <v>PC-63</v>
      </c>
      <c r="W15" s="2">
        <f t="shared" si="22"/>
        <v>4</v>
      </c>
      <c r="X15" s="2" t="str">
        <f t="shared" si="6"/>
        <v>172.3.2.0/24</v>
      </c>
      <c r="Y15" s="2" t="str">
        <f t="shared" si="7"/>
        <v>172.3.2.5</v>
      </c>
      <c r="Z15" s="2" t="str">
        <f t="shared" si="16"/>
        <v>255.255.255.0</v>
      </c>
      <c r="AA15" s="2" t="str">
        <f t="shared" si="8"/>
        <v>172.3.2.1</v>
      </c>
    </row>
    <row r="16" spans="2:27" ht="16" x14ac:dyDescent="0.2">
      <c r="B16" s="2">
        <f t="shared" si="9"/>
        <v>1</v>
      </c>
      <c r="C16" s="2">
        <f>C12+1</f>
        <v>3</v>
      </c>
      <c r="D16" s="2" t="s">
        <v>14</v>
      </c>
      <c r="E16" s="2">
        <f t="shared" si="18"/>
        <v>1</v>
      </c>
      <c r="F16" s="2" t="str">
        <f t="shared" si="0"/>
        <v>172.1.3.0/24</v>
      </c>
      <c r="G16" s="2" t="str">
        <f t="shared" si="1"/>
        <v>172.1.3.2</v>
      </c>
      <c r="H16" s="2" t="str">
        <f t="shared" si="10"/>
        <v>255.255.255.0</v>
      </c>
      <c r="I16" s="2" t="str">
        <f t="shared" si="2"/>
        <v>172.1.3.1</v>
      </c>
      <c r="K16" s="2">
        <f t="shared" si="11"/>
        <v>2</v>
      </c>
      <c r="L16" s="2">
        <f>L12+1</f>
        <v>3</v>
      </c>
      <c r="M16" s="2" t="str">
        <f t="shared" si="12"/>
        <v>PC-36</v>
      </c>
      <c r="N16" s="2">
        <f t="shared" si="20"/>
        <v>1</v>
      </c>
      <c r="O16" s="2" t="str">
        <f t="shared" si="3"/>
        <v>172.2.3.0/24</v>
      </c>
      <c r="P16" s="2" t="str">
        <f t="shared" si="4"/>
        <v>172.2.3.2</v>
      </c>
      <c r="Q16" s="2" t="str">
        <f t="shared" si="13"/>
        <v>255.255.255.0</v>
      </c>
      <c r="R16" s="2" t="str">
        <f t="shared" si="5"/>
        <v>172.2.3.1</v>
      </c>
      <c r="T16" s="2">
        <f t="shared" si="14"/>
        <v>3</v>
      </c>
      <c r="U16" s="2">
        <f>U12+1</f>
        <v>3</v>
      </c>
      <c r="V16" s="2" t="str">
        <f t="shared" si="15"/>
        <v>PC-64</v>
      </c>
      <c r="W16" s="2">
        <f t="shared" si="22"/>
        <v>1</v>
      </c>
      <c r="X16" s="2" t="str">
        <f t="shared" si="6"/>
        <v>172.3.3.0/24</v>
      </c>
      <c r="Y16" s="2" t="str">
        <f t="shared" si="7"/>
        <v>172.3.3.2</v>
      </c>
      <c r="Z16" s="2" t="str">
        <f t="shared" si="16"/>
        <v>255.255.255.0</v>
      </c>
      <c r="AA16" s="2" t="str">
        <f t="shared" si="8"/>
        <v>172.3.3.1</v>
      </c>
    </row>
    <row r="17" spans="2:27" ht="16" x14ac:dyDescent="0.2">
      <c r="B17" s="2">
        <f t="shared" si="9"/>
        <v>1</v>
      </c>
      <c r="C17" s="2">
        <f t="shared" si="17"/>
        <v>3</v>
      </c>
      <c r="D17" s="2" t="s">
        <v>15</v>
      </c>
      <c r="E17" s="2">
        <f t="shared" si="18"/>
        <v>2</v>
      </c>
      <c r="F17" s="2" t="str">
        <f t="shared" si="0"/>
        <v>172.1.3.0/24</v>
      </c>
      <c r="G17" s="2" t="str">
        <f t="shared" si="1"/>
        <v>172.1.3.3</v>
      </c>
      <c r="H17" s="2" t="str">
        <f t="shared" si="10"/>
        <v>255.255.255.0</v>
      </c>
      <c r="I17" s="2" t="str">
        <f t="shared" si="2"/>
        <v>172.1.3.1</v>
      </c>
      <c r="K17" s="2">
        <f t="shared" si="11"/>
        <v>2</v>
      </c>
      <c r="L17" s="2">
        <f t="shared" si="19"/>
        <v>3</v>
      </c>
      <c r="M17" s="2" t="str">
        <f t="shared" si="12"/>
        <v>PC-37</v>
      </c>
      <c r="N17" s="2">
        <f t="shared" si="20"/>
        <v>2</v>
      </c>
      <c r="O17" s="2" t="str">
        <f t="shared" si="3"/>
        <v>172.2.3.0/24</v>
      </c>
      <c r="P17" s="2" t="str">
        <f t="shared" si="4"/>
        <v>172.2.3.3</v>
      </c>
      <c r="Q17" s="2" t="str">
        <f t="shared" si="13"/>
        <v>255.255.255.0</v>
      </c>
      <c r="R17" s="2" t="str">
        <f t="shared" si="5"/>
        <v>172.2.3.1</v>
      </c>
      <c r="T17" s="2">
        <f t="shared" si="14"/>
        <v>3</v>
      </c>
      <c r="U17" s="2">
        <f t="shared" si="21"/>
        <v>3</v>
      </c>
      <c r="V17" s="2" t="str">
        <f t="shared" si="15"/>
        <v>PC-65</v>
      </c>
      <c r="W17" s="2">
        <f t="shared" si="22"/>
        <v>2</v>
      </c>
      <c r="X17" s="2" t="str">
        <f t="shared" si="6"/>
        <v>172.3.3.0/24</v>
      </c>
      <c r="Y17" s="2" t="str">
        <f t="shared" si="7"/>
        <v>172.3.3.3</v>
      </c>
      <c r="Z17" s="2" t="str">
        <f t="shared" si="16"/>
        <v>255.255.255.0</v>
      </c>
      <c r="AA17" s="2" t="str">
        <f t="shared" si="8"/>
        <v>172.3.3.1</v>
      </c>
    </row>
    <row r="18" spans="2:27" ht="16" x14ac:dyDescent="0.2">
      <c r="B18" s="2">
        <f t="shared" si="9"/>
        <v>1</v>
      </c>
      <c r="C18" s="2">
        <f t="shared" si="17"/>
        <v>3</v>
      </c>
      <c r="D18" s="2" t="s">
        <v>16</v>
      </c>
      <c r="E18" s="2">
        <f t="shared" si="18"/>
        <v>3</v>
      </c>
      <c r="F18" s="2" t="str">
        <f t="shared" si="0"/>
        <v>172.1.3.0/24</v>
      </c>
      <c r="G18" s="2" t="str">
        <f t="shared" si="1"/>
        <v>172.1.3.4</v>
      </c>
      <c r="H18" s="2" t="str">
        <f t="shared" si="10"/>
        <v>255.255.255.0</v>
      </c>
      <c r="I18" s="2" t="str">
        <f t="shared" si="2"/>
        <v>172.1.3.1</v>
      </c>
      <c r="K18" s="2">
        <f t="shared" si="11"/>
        <v>2</v>
      </c>
      <c r="L18" s="2">
        <f t="shared" si="19"/>
        <v>3</v>
      </c>
      <c r="M18" s="2" t="str">
        <f t="shared" si="12"/>
        <v>PC-38</v>
      </c>
      <c r="N18" s="2">
        <f t="shared" si="20"/>
        <v>3</v>
      </c>
      <c r="O18" s="2" t="str">
        <f t="shared" si="3"/>
        <v>172.2.3.0/24</v>
      </c>
      <c r="P18" s="2" t="str">
        <f t="shared" si="4"/>
        <v>172.2.3.4</v>
      </c>
      <c r="Q18" s="2" t="str">
        <f t="shared" si="13"/>
        <v>255.255.255.0</v>
      </c>
      <c r="R18" s="2" t="str">
        <f t="shared" si="5"/>
        <v>172.2.3.1</v>
      </c>
      <c r="T18" s="2">
        <f t="shared" si="14"/>
        <v>3</v>
      </c>
      <c r="U18" s="2">
        <f t="shared" si="21"/>
        <v>3</v>
      </c>
      <c r="V18" s="2" t="str">
        <f t="shared" si="15"/>
        <v>PC-66</v>
      </c>
      <c r="W18" s="2">
        <f t="shared" si="22"/>
        <v>3</v>
      </c>
      <c r="X18" s="2" t="str">
        <f t="shared" si="6"/>
        <v>172.3.3.0/24</v>
      </c>
      <c r="Y18" s="2" t="str">
        <f t="shared" si="7"/>
        <v>172.3.3.4</v>
      </c>
      <c r="Z18" s="2" t="str">
        <f t="shared" si="16"/>
        <v>255.255.255.0</v>
      </c>
      <c r="AA18" s="2" t="str">
        <f t="shared" si="8"/>
        <v>172.3.3.1</v>
      </c>
    </row>
    <row r="19" spans="2:27" ht="16" x14ac:dyDescent="0.2">
      <c r="B19" s="2">
        <f t="shared" si="9"/>
        <v>1</v>
      </c>
      <c r="C19" s="2">
        <f t="shared" si="17"/>
        <v>3</v>
      </c>
      <c r="D19" s="2" t="s">
        <v>17</v>
      </c>
      <c r="E19" s="2">
        <f t="shared" si="18"/>
        <v>4</v>
      </c>
      <c r="F19" s="2" t="str">
        <f t="shared" si="0"/>
        <v>172.1.3.0/24</v>
      </c>
      <c r="G19" s="2" t="str">
        <f t="shared" si="1"/>
        <v>172.1.3.5</v>
      </c>
      <c r="H19" s="2" t="str">
        <f t="shared" si="10"/>
        <v>255.255.255.0</v>
      </c>
      <c r="I19" s="2" t="str">
        <f t="shared" si="2"/>
        <v>172.1.3.1</v>
      </c>
      <c r="K19" s="2">
        <f t="shared" si="11"/>
        <v>2</v>
      </c>
      <c r="L19" s="2">
        <f t="shared" si="19"/>
        <v>3</v>
      </c>
      <c r="M19" s="2" t="str">
        <f t="shared" si="12"/>
        <v>PC-39</v>
      </c>
      <c r="N19" s="2">
        <f t="shared" si="20"/>
        <v>4</v>
      </c>
      <c r="O19" s="2" t="str">
        <f t="shared" si="3"/>
        <v>172.2.3.0/24</v>
      </c>
      <c r="P19" s="2" t="str">
        <f t="shared" si="4"/>
        <v>172.2.3.5</v>
      </c>
      <c r="Q19" s="2" t="str">
        <f t="shared" si="13"/>
        <v>255.255.255.0</v>
      </c>
      <c r="R19" s="2" t="str">
        <f t="shared" si="5"/>
        <v>172.2.3.1</v>
      </c>
      <c r="T19" s="2">
        <f t="shared" si="14"/>
        <v>3</v>
      </c>
      <c r="U19" s="2">
        <f t="shared" si="21"/>
        <v>3</v>
      </c>
      <c r="V19" s="2" t="str">
        <f t="shared" si="15"/>
        <v>PC-67</v>
      </c>
      <c r="W19" s="2">
        <f t="shared" si="22"/>
        <v>4</v>
      </c>
      <c r="X19" s="2" t="str">
        <f t="shared" si="6"/>
        <v>172.3.3.0/24</v>
      </c>
      <c r="Y19" s="2" t="str">
        <f t="shared" si="7"/>
        <v>172.3.3.5</v>
      </c>
      <c r="Z19" s="2" t="str">
        <f t="shared" si="16"/>
        <v>255.255.255.0</v>
      </c>
      <c r="AA19" s="2" t="str">
        <f t="shared" si="8"/>
        <v>172.3.3.1</v>
      </c>
    </row>
    <row r="20" spans="2:27" ht="16" x14ac:dyDescent="0.2">
      <c r="B20" s="2">
        <f t="shared" si="9"/>
        <v>1</v>
      </c>
      <c r="C20" s="2">
        <f>C16+1</f>
        <v>4</v>
      </c>
      <c r="D20" s="2" t="s">
        <v>18</v>
      </c>
      <c r="E20" s="2">
        <f t="shared" si="18"/>
        <v>1</v>
      </c>
      <c r="F20" s="2" t="str">
        <f t="shared" si="0"/>
        <v>172.1.4.0/24</v>
      </c>
      <c r="G20" s="2" t="str">
        <f t="shared" si="1"/>
        <v>172.1.4.2</v>
      </c>
      <c r="H20" s="2" t="str">
        <f t="shared" si="10"/>
        <v>255.255.255.0</v>
      </c>
      <c r="I20" s="2" t="str">
        <f t="shared" si="2"/>
        <v>172.1.4.1</v>
      </c>
      <c r="K20" s="2">
        <f t="shared" si="11"/>
        <v>2</v>
      </c>
      <c r="L20" s="2">
        <f>L16+1</f>
        <v>4</v>
      </c>
      <c r="M20" s="2" t="str">
        <f t="shared" si="12"/>
        <v>PC-40</v>
      </c>
      <c r="N20" s="2">
        <f t="shared" si="20"/>
        <v>1</v>
      </c>
      <c r="O20" s="2" t="str">
        <f t="shared" si="3"/>
        <v>172.2.4.0/24</v>
      </c>
      <c r="P20" s="2" t="str">
        <f t="shared" si="4"/>
        <v>172.2.4.2</v>
      </c>
      <c r="Q20" s="2" t="str">
        <f t="shared" si="13"/>
        <v>255.255.255.0</v>
      </c>
      <c r="R20" s="2" t="str">
        <f t="shared" si="5"/>
        <v>172.2.4.1</v>
      </c>
      <c r="T20" s="2">
        <f t="shared" si="14"/>
        <v>3</v>
      </c>
      <c r="U20" s="2">
        <f>U16+1</f>
        <v>4</v>
      </c>
      <c r="V20" s="2" t="str">
        <f t="shared" si="15"/>
        <v>PC-68</v>
      </c>
      <c r="W20" s="2">
        <f t="shared" si="22"/>
        <v>1</v>
      </c>
      <c r="X20" s="2" t="str">
        <f t="shared" si="6"/>
        <v>172.3.4.0/24</v>
      </c>
      <c r="Y20" s="2" t="str">
        <f t="shared" si="7"/>
        <v>172.3.4.2</v>
      </c>
      <c r="Z20" s="2" t="str">
        <f t="shared" si="16"/>
        <v>255.255.255.0</v>
      </c>
      <c r="AA20" s="2" t="str">
        <f t="shared" si="8"/>
        <v>172.3.4.1</v>
      </c>
    </row>
    <row r="21" spans="2:27" ht="16" x14ac:dyDescent="0.2">
      <c r="B21" s="2">
        <f t="shared" si="9"/>
        <v>1</v>
      </c>
      <c r="C21" s="2">
        <f t="shared" si="17"/>
        <v>4</v>
      </c>
      <c r="D21" s="2" t="s">
        <v>19</v>
      </c>
      <c r="E21" s="2">
        <f t="shared" si="18"/>
        <v>2</v>
      </c>
      <c r="F21" s="2" t="str">
        <f t="shared" si="0"/>
        <v>172.1.4.0/24</v>
      </c>
      <c r="G21" s="2" t="str">
        <f t="shared" si="1"/>
        <v>172.1.4.3</v>
      </c>
      <c r="H21" s="2" t="str">
        <f t="shared" si="10"/>
        <v>255.255.255.0</v>
      </c>
      <c r="I21" s="2" t="str">
        <f t="shared" si="2"/>
        <v>172.1.4.1</v>
      </c>
      <c r="K21" s="2">
        <f t="shared" si="11"/>
        <v>2</v>
      </c>
      <c r="L21" s="2">
        <f t="shared" si="19"/>
        <v>4</v>
      </c>
      <c r="M21" s="2" t="str">
        <f t="shared" si="12"/>
        <v>PC-41</v>
      </c>
      <c r="N21" s="2">
        <f t="shared" si="20"/>
        <v>2</v>
      </c>
      <c r="O21" s="2" t="str">
        <f t="shared" si="3"/>
        <v>172.2.4.0/24</v>
      </c>
      <c r="P21" s="2" t="str">
        <f t="shared" si="4"/>
        <v>172.2.4.3</v>
      </c>
      <c r="Q21" s="2" t="str">
        <f t="shared" si="13"/>
        <v>255.255.255.0</v>
      </c>
      <c r="R21" s="2" t="str">
        <f t="shared" si="5"/>
        <v>172.2.4.1</v>
      </c>
      <c r="T21" s="2">
        <f t="shared" si="14"/>
        <v>3</v>
      </c>
      <c r="U21" s="2">
        <f t="shared" si="21"/>
        <v>4</v>
      </c>
      <c r="V21" s="2" t="str">
        <f t="shared" si="15"/>
        <v>PC-69</v>
      </c>
      <c r="W21" s="2">
        <f t="shared" si="22"/>
        <v>2</v>
      </c>
      <c r="X21" s="2" t="str">
        <f t="shared" si="6"/>
        <v>172.3.4.0/24</v>
      </c>
      <c r="Y21" s="2" t="str">
        <f t="shared" si="7"/>
        <v>172.3.4.3</v>
      </c>
      <c r="Z21" s="2" t="str">
        <f t="shared" si="16"/>
        <v>255.255.255.0</v>
      </c>
      <c r="AA21" s="2" t="str">
        <f t="shared" si="8"/>
        <v>172.3.4.1</v>
      </c>
    </row>
    <row r="22" spans="2:27" ht="16" x14ac:dyDescent="0.2">
      <c r="B22" s="2">
        <f t="shared" si="9"/>
        <v>1</v>
      </c>
      <c r="C22" s="2">
        <f t="shared" si="17"/>
        <v>4</v>
      </c>
      <c r="D22" s="2" t="s">
        <v>20</v>
      </c>
      <c r="E22" s="2">
        <f t="shared" si="18"/>
        <v>3</v>
      </c>
      <c r="F22" s="2" t="str">
        <f t="shared" si="0"/>
        <v>172.1.4.0/24</v>
      </c>
      <c r="G22" s="2" t="str">
        <f t="shared" si="1"/>
        <v>172.1.4.4</v>
      </c>
      <c r="H22" s="2" t="str">
        <f t="shared" si="10"/>
        <v>255.255.255.0</v>
      </c>
      <c r="I22" s="2" t="str">
        <f t="shared" si="2"/>
        <v>172.1.4.1</v>
      </c>
      <c r="K22" s="2">
        <f t="shared" si="11"/>
        <v>2</v>
      </c>
      <c r="L22" s="2">
        <f t="shared" si="19"/>
        <v>4</v>
      </c>
      <c r="M22" s="2" t="str">
        <f t="shared" si="12"/>
        <v>PC-42</v>
      </c>
      <c r="N22" s="2">
        <f t="shared" si="20"/>
        <v>3</v>
      </c>
      <c r="O22" s="2" t="str">
        <f t="shared" si="3"/>
        <v>172.2.4.0/24</v>
      </c>
      <c r="P22" s="2" t="str">
        <f t="shared" si="4"/>
        <v>172.2.4.4</v>
      </c>
      <c r="Q22" s="2" t="str">
        <f t="shared" si="13"/>
        <v>255.255.255.0</v>
      </c>
      <c r="R22" s="2" t="str">
        <f t="shared" si="5"/>
        <v>172.2.4.1</v>
      </c>
      <c r="T22" s="2">
        <f t="shared" si="14"/>
        <v>3</v>
      </c>
      <c r="U22" s="2">
        <f t="shared" si="21"/>
        <v>4</v>
      </c>
      <c r="V22" s="2" t="str">
        <f t="shared" si="15"/>
        <v>PC-70</v>
      </c>
      <c r="W22" s="2">
        <f t="shared" si="22"/>
        <v>3</v>
      </c>
      <c r="X22" s="2" t="str">
        <f t="shared" si="6"/>
        <v>172.3.4.0/24</v>
      </c>
      <c r="Y22" s="2" t="str">
        <f t="shared" si="7"/>
        <v>172.3.4.4</v>
      </c>
      <c r="Z22" s="2" t="str">
        <f t="shared" si="16"/>
        <v>255.255.255.0</v>
      </c>
      <c r="AA22" s="2" t="str">
        <f t="shared" si="8"/>
        <v>172.3.4.1</v>
      </c>
    </row>
    <row r="23" spans="2:27" ht="16" x14ac:dyDescent="0.2">
      <c r="B23" s="2">
        <f t="shared" si="9"/>
        <v>1</v>
      </c>
      <c r="C23" s="2">
        <f>C19+1</f>
        <v>4</v>
      </c>
      <c r="D23" s="2" t="s">
        <v>21</v>
      </c>
      <c r="E23" s="2">
        <f t="shared" si="18"/>
        <v>4</v>
      </c>
      <c r="F23" s="2" t="str">
        <f t="shared" si="0"/>
        <v>172.1.4.0/24</v>
      </c>
      <c r="G23" s="2" t="str">
        <f t="shared" si="1"/>
        <v>172.1.4.5</v>
      </c>
      <c r="H23" s="2" t="str">
        <f t="shared" si="10"/>
        <v>255.255.255.0</v>
      </c>
      <c r="I23" s="2" t="str">
        <f t="shared" si="2"/>
        <v>172.1.4.1</v>
      </c>
      <c r="K23" s="2">
        <f t="shared" si="11"/>
        <v>2</v>
      </c>
      <c r="L23" s="2">
        <f>L19+1</f>
        <v>4</v>
      </c>
      <c r="M23" s="2" t="str">
        <f t="shared" si="12"/>
        <v>PC-43</v>
      </c>
      <c r="N23" s="2">
        <f t="shared" si="20"/>
        <v>4</v>
      </c>
      <c r="O23" s="2" t="str">
        <f t="shared" si="3"/>
        <v>172.2.4.0/24</v>
      </c>
      <c r="P23" s="2" t="str">
        <f t="shared" si="4"/>
        <v>172.2.4.5</v>
      </c>
      <c r="Q23" s="2" t="str">
        <f t="shared" si="13"/>
        <v>255.255.255.0</v>
      </c>
      <c r="R23" s="2" t="str">
        <f t="shared" si="5"/>
        <v>172.2.4.1</v>
      </c>
      <c r="T23" s="2">
        <f t="shared" si="14"/>
        <v>3</v>
      </c>
      <c r="U23" s="2">
        <f>U19+1</f>
        <v>4</v>
      </c>
      <c r="V23" s="2" t="str">
        <f t="shared" si="15"/>
        <v>PC-71</v>
      </c>
      <c r="W23" s="2">
        <f t="shared" si="22"/>
        <v>4</v>
      </c>
      <c r="X23" s="2" t="str">
        <f t="shared" si="6"/>
        <v>172.3.4.0/24</v>
      </c>
      <c r="Y23" s="2" t="str">
        <f t="shared" si="7"/>
        <v>172.3.4.5</v>
      </c>
      <c r="Z23" s="2" t="str">
        <f t="shared" si="16"/>
        <v>255.255.255.0</v>
      </c>
      <c r="AA23" s="2" t="str">
        <f t="shared" si="8"/>
        <v>172.3.4.1</v>
      </c>
    </row>
    <row r="24" spans="2:27" ht="16" x14ac:dyDescent="0.2">
      <c r="B24" s="2">
        <f t="shared" si="9"/>
        <v>1</v>
      </c>
      <c r="C24" s="2">
        <f t="shared" si="17"/>
        <v>5</v>
      </c>
      <c r="D24" s="2" t="s">
        <v>22</v>
      </c>
      <c r="E24" s="2">
        <f t="shared" si="18"/>
        <v>1</v>
      </c>
      <c r="F24" s="2" t="str">
        <f t="shared" si="0"/>
        <v>172.1.5.0/24</v>
      </c>
      <c r="G24" s="2" t="str">
        <f t="shared" si="1"/>
        <v>172.1.5.2</v>
      </c>
      <c r="H24" s="2" t="str">
        <f t="shared" si="10"/>
        <v>255.255.255.0</v>
      </c>
      <c r="I24" s="2" t="str">
        <f t="shared" si="2"/>
        <v>172.1.5.1</v>
      </c>
      <c r="K24" s="2">
        <f t="shared" si="11"/>
        <v>2</v>
      </c>
      <c r="L24" s="2">
        <f t="shared" si="19"/>
        <v>5</v>
      </c>
      <c r="M24" s="2" t="str">
        <f t="shared" si="12"/>
        <v>PC-44</v>
      </c>
      <c r="N24" s="2">
        <f t="shared" si="20"/>
        <v>1</v>
      </c>
      <c r="O24" s="2" t="str">
        <f t="shared" si="3"/>
        <v>172.2.5.0/24</v>
      </c>
      <c r="P24" s="2" t="str">
        <f t="shared" si="4"/>
        <v>172.2.5.2</v>
      </c>
      <c r="Q24" s="2" t="str">
        <f t="shared" si="13"/>
        <v>255.255.255.0</v>
      </c>
      <c r="R24" s="2" t="str">
        <f t="shared" si="5"/>
        <v>172.2.5.1</v>
      </c>
      <c r="T24" s="2">
        <f t="shared" si="14"/>
        <v>3</v>
      </c>
      <c r="U24" s="2">
        <f t="shared" si="21"/>
        <v>5</v>
      </c>
      <c r="V24" s="2" t="str">
        <f t="shared" si="15"/>
        <v>PC-72</v>
      </c>
      <c r="W24" s="2">
        <f t="shared" si="22"/>
        <v>1</v>
      </c>
      <c r="X24" s="2" t="str">
        <f t="shared" si="6"/>
        <v>172.3.5.0/24</v>
      </c>
      <c r="Y24" s="2" t="str">
        <f t="shared" si="7"/>
        <v>172.3.5.2</v>
      </c>
      <c r="Z24" s="2" t="str">
        <f t="shared" si="16"/>
        <v>255.255.255.0</v>
      </c>
      <c r="AA24" s="2" t="str">
        <f t="shared" si="8"/>
        <v>172.3.5.1</v>
      </c>
    </row>
    <row r="25" spans="2:27" ht="16" x14ac:dyDescent="0.2">
      <c r="B25" s="2">
        <f t="shared" si="9"/>
        <v>1</v>
      </c>
      <c r="C25" s="2">
        <f t="shared" si="17"/>
        <v>5</v>
      </c>
      <c r="D25" s="2" t="s">
        <v>23</v>
      </c>
      <c r="E25" s="2">
        <f t="shared" si="18"/>
        <v>2</v>
      </c>
      <c r="F25" s="2" t="str">
        <f t="shared" si="0"/>
        <v>172.1.5.0/24</v>
      </c>
      <c r="G25" s="2" t="str">
        <f t="shared" si="1"/>
        <v>172.1.5.3</v>
      </c>
      <c r="H25" s="2" t="str">
        <f t="shared" si="10"/>
        <v>255.255.255.0</v>
      </c>
      <c r="I25" s="2" t="str">
        <f t="shared" si="2"/>
        <v>172.1.5.1</v>
      </c>
      <c r="K25" s="2">
        <f t="shared" si="11"/>
        <v>2</v>
      </c>
      <c r="L25" s="2">
        <f t="shared" si="19"/>
        <v>5</v>
      </c>
      <c r="M25" s="2" t="str">
        <f t="shared" si="12"/>
        <v>PC-45</v>
      </c>
      <c r="N25" s="2">
        <f t="shared" si="20"/>
        <v>2</v>
      </c>
      <c r="O25" s="2" t="str">
        <f t="shared" si="3"/>
        <v>172.2.5.0/24</v>
      </c>
      <c r="P25" s="2" t="str">
        <f t="shared" si="4"/>
        <v>172.2.5.3</v>
      </c>
      <c r="Q25" s="2" t="str">
        <f t="shared" si="13"/>
        <v>255.255.255.0</v>
      </c>
      <c r="R25" s="2" t="str">
        <f t="shared" si="5"/>
        <v>172.2.5.1</v>
      </c>
      <c r="T25" s="2">
        <f t="shared" si="14"/>
        <v>3</v>
      </c>
      <c r="U25" s="2">
        <f t="shared" si="21"/>
        <v>5</v>
      </c>
      <c r="V25" s="2" t="str">
        <f t="shared" si="15"/>
        <v>PC-73</v>
      </c>
      <c r="W25" s="2">
        <f t="shared" si="22"/>
        <v>2</v>
      </c>
      <c r="X25" s="2" t="str">
        <f t="shared" si="6"/>
        <v>172.3.5.0/24</v>
      </c>
      <c r="Y25" s="2" t="str">
        <f t="shared" si="7"/>
        <v>172.3.5.3</v>
      </c>
      <c r="Z25" s="2" t="str">
        <f t="shared" si="16"/>
        <v>255.255.255.0</v>
      </c>
      <c r="AA25" s="2" t="str">
        <f t="shared" si="8"/>
        <v>172.3.5.1</v>
      </c>
    </row>
    <row r="26" spans="2:27" ht="16" x14ac:dyDescent="0.2">
      <c r="B26" s="2">
        <f t="shared" si="9"/>
        <v>1</v>
      </c>
      <c r="C26" s="2">
        <f>C22+1</f>
        <v>5</v>
      </c>
      <c r="D26" s="2" t="s">
        <v>24</v>
      </c>
      <c r="E26" s="2">
        <f t="shared" si="18"/>
        <v>3</v>
      </c>
      <c r="F26" s="2" t="str">
        <f t="shared" si="0"/>
        <v>172.1.5.0/24</v>
      </c>
      <c r="G26" s="2" t="str">
        <f t="shared" si="1"/>
        <v>172.1.5.4</v>
      </c>
      <c r="H26" s="2" t="str">
        <f t="shared" si="10"/>
        <v>255.255.255.0</v>
      </c>
      <c r="I26" s="2" t="str">
        <f t="shared" si="2"/>
        <v>172.1.5.1</v>
      </c>
      <c r="K26" s="2">
        <f t="shared" si="11"/>
        <v>2</v>
      </c>
      <c r="L26" s="2">
        <f>L22+1</f>
        <v>5</v>
      </c>
      <c r="M26" s="2" t="str">
        <f t="shared" si="12"/>
        <v>PC-46</v>
      </c>
      <c r="N26" s="2">
        <f t="shared" si="20"/>
        <v>3</v>
      </c>
      <c r="O26" s="2" t="str">
        <f t="shared" si="3"/>
        <v>172.2.5.0/24</v>
      </c>
      <c r="P26" s="2" t="str">
        <f t="shared" si="4"/>
        <v>172.2.5.4</v>
      </c>
      <c r="Q26" s="2" t="str">
        <f t="shared" si="13"/>
        <v>255.255.255.0</v>
      </c>
      <c r="R26" s="2" t="str">
        <f t="shared" si="5"/>
        <v>172.2.5.1</v>
      </c>
      <c r="T26" s="2">
        <f t="shared" si="14"/>
        <v>3</v>
      </c>
      <c r="U26" s="2">
        <f>U22+1</f>
        <v>5</v>
      </c>
      <c r="V26" s="2" t="str">
        <f t="shared" si="15"/>
        <v>PC-74</v>
      </c>
      <c r="W26" s="2">
        <f t="shared" si="22"/>
        <v>3</v>
      </c>
      <c r="X26" s="2" t="str">
        <f t="shared" si="6"/>
        <v>172.3.5.0/24</v>
      </c>
      <c r="Y26" s="2" t="str">
        <f t="shared" si="7"/>
        <v>172.3.5.4</v>
      </c>
      <c r="Z26" s="2" t="str">
        <f t="shared" si="16"/>
        <v>255.255.255.0</v>
      </c>
      <c r="AA26" s="2" t="str">
        <f t="shared" si="8"/>
        <v>172.3.5.1</v>
      </c>
    </row>
    <row r="27" spans="2:27" ht="16" x14ac:dyDescent="0.2">
      <c r="B27" s="2">
        <f t="shared" si="9"/>
        <v>1</v>
      </c>
      <c r="C27" s="2">
        <f t="shared" si="17"/>
        <v>5</v>
      </c>
      <c r="D27" s="2" t="s">
        <v>25</v>
      </c>
      <c r="E27" s="2">
        <f t="shared" si="18"/>
        <v>4</v>
      </c>
      <c r="F27" s="2" t="str">
        <f t="shared" si="0"/>
        <v>172.1.5.0/24</v>
      </c>
      <c r="G27" s="2" t="str">
        <f t="shared" si="1"/>
        <v>172.1.5.5</v>
      </c>
      <c r="H27" s="2" t="str">
        <f t="shared" si="10"/>
        <v>255.255.255.0</v>
      </c>
      <c r="I27" s="2" t="str">
        <f t="shared" si="2"/>
        <v>172.1.5.1</v>
      </c>
      <c r="K27" s="2">
        <f t="shared" si="11"/>
        <v>2</v>
      </c>
      <c r="L27" s="2">
        <f t="shared" si="19"/>
        <v>5</v>
      </c>
      <c r="M27" s="2" t="str">
        <f t="shared" si="12"/>
        <v>PC-47</v>
      </c>
      <c r="N27" s="2">
        <f t="shared" si="20"/>
        <v>4</v>
      </c>
      <c r="O27" s="2" t="str">
        <f t="shared" si="3"/>
        <v>172.2.5.0/24</v>
      </c>
      <c r="P27" s="2" t="str">
        <f t="shared" si="4"/>
        <v>172.2.5.5</v>
      </c>
      <c r="Q27" s="2" t="str">
        <f t="shared" si="13"/>
        <v>255.255.255.0</v>
      </c>
      <c r="R27" s="2" t="str">
        <f t="shared" si="5"/>
        <v>172.2.5.1</v>
      </c>
      <c r="T27" s="2">
        <f t="shared" si="14"/>
        <v>3</v>
      </c>
      <c r="U27" s="2">
        <f t="shared" si="21"/>
        <v>5</v>
      </c>
      <c r="V27" s="2" t="str">
        <f t="shared" si="15"/>
        <v>PC-75</v>
      </c>
      <c r="W27" s="2">
        <f t="shared" si="22"/>
        <v>4</v>
      </c>
      <c r="X27" s="2" t="str">
        <f t="shared" si="6"/>
        <v>172.3.5.0/24</v>
      </c>
      <c r="Y27" s="2" t="str">
        <f t="shared" si="7"/>
        <v>172.3.5.5</v>
      </c>
      <c r="Z27" s="2" t="str">
        <f t="shared" si="16"/>
        <v>255.255.255.0</v>
      </c>
      <c r="AA27" s="2" t="str">
        <f t="shared" si="8"/>
        <v>172.3.5.1</v>
      </c>
    </row>
    <row r="28" spans="2:27" ht="16" x14ac:dyDescent="0.2">
      <c r="K28" s="2">
        <f>K27</f>
        <v>2</v>
      </c>
      <c r="L28" s="2">
        <f t="shared" si="19"/>
        <v>6</v>
      </c>
      <c r="M28" s="2" t="str">
        <f t="shared" ref="M28:M31" si="23">_xlfn.CONCAT("PC-",MID(M27,FIND("-",M27)+ 1, LEN(M27))+1)</f>
        <v>PC-48</v>
      </c>
      <c r="N28" s="2">
        <f t="shared" si="20"/>
        <v>1</v>
      </c>
      <c r="O28" s="2" t="str">
        <f t="shared" ref="O28:O31" si="24">_xlfn.CONCAT("172.",K28,".",L28,".0/24")</f>
        <v>172.2.6.0/24</v>
      </c>
      <c r="P28" s="2" t="str">
        <f t="shared" ref="P28:P31" si="25">_xlfn.CONCAT("172.",K28,".",L28,".",N28 + 1)</f>
        <v>172.2.6.2</v>
      </c>
      <c r="Q28" s="2" t="str">
        <f t="shared" ref="Q28:Q31" si="26">Q27</f>
        <v>255.255.255.0</v>
      </c>
      <c r="R28" s="2" t="str">
        <f t="shared" ref="R28:R31" si="27">_xlfn.CONCAT("172.",K28,".",L28,".1")</f>
        <v>172.2.6.1</v>
      </c>
      <c r="T28" s="2">
        <f>T27</f>
        <v>3</v>
      </c>
      <c r="U28" s="2">
        <f t="shared" si="21"/>
        <v>6</v>
      </c>
      <c r="V28" s="2" t="str">
        <f t="shared" si="15"/>
        <v>PC-76</v>
      </c>
      <c r="W28" s="2">
        <f t="shared" si="22"/>
        <v>1</v>
      </c>
      <c r="X28" s="2" t="str">
        <f t="shared" si="6"/>
        <v>172.3.6.0/24</v>
      </c>
      <c r="Y28" s="2" t="str">
        <f t="shared" si="7"/>
        <v>172.3.6.2</v>
      </c>
      <c r="Z28" s="2" t="str">
        <f t="shared" si="16"/>
        <v>255.255.255.0</v>
      </c>
      <c r="AA28" s="2" t="str">
        <f t="shared" si="8"/>
        <v>172.3.6.1</v>
      </c>
    </row>
    <row r="29" spans="2:27" ht="16" x14ac:dyDescent="0.2">
      <c r="K29" s="2">
        <f t="shared" si="11"/>
        <v>2</v>
      </c>
      <c r="L29" s="2">
        <f t="shared" si="19"/>
        <v>6</v>
      </c>
      <c r="M29" s="2" t="str">
        <f t="shared" si="23"/>
        <v>PC-49</v>
      </c>
      <c r="N29" s="2">
        <f t="shared" si="20"/>
        <v>2</v>
      </c>
      <c r="O29" s="2" t="str">
        <f t="shared" si="24"/>
        <v>172.2.6.0/24</v>
      </c>
      <c r="P29" s="2" t="str">
        <f t="shared" si="25"/>
        <v>172.2.6.3</v>
      </c>
      <c r="Q29" s="2" t="str">
        <f t="shared" si="26"/>
        <v>255.255.255.0</v>
      </c>
      <c r="R29" s="2" t="str">
        <f t="shared" si="27"/>
        <v>172.2.6.1</v>
      </c>
      <c r="T29" s="2">
        <f t="shared" si="14"/>
        <v>3</v>
      </c>
      <c r="U29" s="2">
        <f t="shared" si="21"/>
        <v>6</v>
      </c>
      <c r="V29" s="2" t="str">
        <f t="shared" si="15"/>
        <v>PC-77</v>
      </c>
      <c r="W29" s="2">
        <f t="shared" si="22"/>
        <v>2</v>
      </c>
      <c r="X29" s="2" t="str">
        <f t="shared" si="6"/>
        <v>172.3.6.0/24</v>
      </c>
      <c r="Y29" s="2" t="str">
        <f t="shared" si="7"/>
        <v>172.3.6.3</v>
      </c>
      <c r="Z29" s="2" t="str">
        <f t="shared" si="16"/>
        <v>255.255.255.0</v>
      </c>
      <c r="AA29" s="2" t="str">
        <f t="shared" si="8"/>
        <v>172.3.6.1</v>
      </c>
    </row>
    <row r="30" spans="2:27" ht="16" x14ac:dyDescent="0.2">
      <c r="K30" s="2">
        <f t="shared" si="11"/>
        <v>2</v>
      </c>
      <c r="L30" s="2">
        <f t="shared" si="19"/>
        <v>6</v>
      </c>
      <c r="M30" s="2" t="str">
        <f t="shared" si="23"/>
        <v>PC-50</v>
      </c>
      <c r="N30" s="2">
        <f t="shared" si="20"/>
        <v>3</v>
      </c>
      <c r="O30" s="2" t="str">
        <f t="shared" si="24"/>
        <v>172.2.6.0/24</v>
      </c>
      <c r="P30" s="2" t="str">
        <f t="shared" si="25"/>
        <v>172.2.6.4</v>
      </c>
      <c r="Q30" s="2" t="str">
        <f t="shared" si="26"/>
        <v>255.255.255.0</v>
      </c>
      <c r="R30" s="2" t="str">
        <f t="shared" si="27"/>
        <v>172.2.6.1</v>
      </c>
      <c r="T30" s="2">
        <f t="shared" si="14"/>
        <v>3</v>
      </c>
      <c r="U30" s="2">
        <f t="shared" si="21"/>
        <v>6</v>
      </c>
      <c r="V30" s="2" t="str">
        <f t="shared" si="15"/>
        <v>PC-78</v>
      </c>
      <c r="W30" s="2">
        <f t="shared" si="22"/>
        <v>3</v>
      </c>
      <c r="X30" s="2" t="str">
        <f t="shared" si="6"/>
        <v>172.3.6.0/24</v>
      </c>
      <c r="Y30" s="2" t="str">
        <f t="shared" si="7"/>
        <v>172.3.6.4</v>
      </c>
      <c r="Z30" s="2" t="str">
        <f t="shared" si="16"/>
        <v>255.255.255.0</v>
      </c>
      <c r="AA30" s="2" t="str">
        <f t="shared" si="8"/>
        <v>172.3.6.1</v>
      </c>
    </row>
    <row r="31" spans="2:27" ht="16" x14ac:dyDescent="0.2">
      <c r="K31" s="2">
        <f t="shared" si="11"/>
        <v>2</v>
      </c>
      <c r="L31" s="2">
        <f t="shared" si="19"/>
        <v>6</v>
      </c>
      <c r="M31" s="2" t="str">
        <f t="shared" si="23"/>
        <v>PC-51</v>
      </c>
      <c r="N31" s="2">
        <f t="shared" si="20"/>
        <v>4</v>
      </c>
      <c r="O31" s="2" t="str">
        <f t="shared" si="24"/>
        <v>172.2.6.0/24</v>
      </c>
      <c r="P31" s="2" t="str">
        <f t="shared" si="25"/>
        <v>172.2.6.5</v>
      </c>
      <c r="Q31" s="2" t="str">
        <f t="shared" si="26"/>
        <v>255.255.255.0</v>
      </c>
      <c r="R31" s="2" t="str">
        <f t="shared" si="27"/>
        <v>172.2.6.1</v>
      </c>
      <c r="T31" s="2">
        <f t="shared" si="14"/>
        <v>3</v>
      </c>
      <c r="U31" s="2">
        <f t="shared" si="21"/>
        <v>6</v>
      </c>
      <c r="V31" s="2" t="str">
        <f t="shared" si="15"/>
        <v>PC-79</v>
      </c>
      <c r="W31" s="2">
        <f t="shared" si="22"/>
        <v>4</v>
      </c>
      <c r="X31" s="2" t="str">
        <f t="shared" si="6"/>
        <v>172.3.6.0/24</v>
      </c>
      <c r="Y31" s="2" t="str">
        <f t="shared" si="7"/>
        <v>172.3.6.5</v>
      </c>
      <c r="Z31" s="2" t="str">
        <f t="shared" si="16"/>
        <v>255.255.255.0</v>
      </c>
      <c r="AA31" s="2" t="str">
        <f t="shared" si="8"/>
        <v>172.3.6.1</v>
      </c>
    </row>
    <row r="32" spans="2:27" ht="16" x14ac:dyDescent="0.2">
      <c r="K32" s="2"/>
      <c r="L32" s="2"/>
      <c r="M32" s="2"/>
      <c r="N32" s="2"/>
      <c r="O32" s="2"/>
      <c r="P32" s="2"/>
      <c r="Q32" s="2"/>
      <c r="R32" s="2"/>
      <c r="T32" s="2">
        <f t="shared" si="14"/>
        <v>3</v>
      </c>
      <c r="U32" s="2">
        <f t="shared" si="21"/>
        <v>7</v>
      </c>
      <c r="V32" s="2" t="str">
        <f t="shared" si="15"/>
        <v>PC-80</v>
      </c>
      <c r="W32" s="2">
        <f t="shared" si="22"/>
        <v>1</v>
      </c>
      <c r="X32" s="2" t="str">
        <f t="shared" si="6"/>
        <v>172.3.7.0/24</v>
      </c>
      <c r="Y32" s="2" t="str">
        <f t="shared" si="7"/>
        <v>172.3.7.2</v>
      </c>
      <c r="Z32" s="2" t="str">
        <f t="shared" si="16"/>
        <v>255.255.255.0</v>
      </c>
      <c r="AA32" s="2" t="str">
        <f t="shared" si="8"/>
        <v>172.3.7.1</v>
      </c>
    </row>
    <row r="33" spans="11:27" ht="16" x14ac:dyDescent="0.2">
      <c r="K33" s="2"/>
      <c r="L33" s="2"/>
      <c r="M33" s="2"/>
      <c r="N33" s="2"/>
      <c r="O33" s="2"/>
      <c r="P33" s="2"/>
      <c r="Q33" s="2"/>
      <c r="R33" s="2"/>
      <c r="T33" s="2">
        <f t="shared" si="14"/>
        <v>3</v>
      </c>
      <c r="U33" s="2">
        <f t="shared" si="21"/>
        <v>7</v>
      </c>
      <c r="V33" s="2" t="str">
        <f t="shared" si="15"/>
        <v>PC-81</v>
      </c>
      <c r="W33" s="2">
        <f t="shared" si="22"/>
        <v>2</v>
      </c>
      <c r="X33" s="2" t="str">
        <f t="shared" si="6"/>
        <v>172.3.7.0/24</v>
      </c>
      <c r="Y33" s="2" t="str">
        <f t="shared" si="7"/>
        <v>172.3.7.3</v>
      </c>
      <c r="Z33" s="2" t="str">
        <f t="shared" si="16"/>
        <v>255.255.255.0</v>
      </c>
      <c r="AA33" s="2" t="str">
        <f t="shared" si="8"/>
        <v>172.3.7.1</v>
      </c>
    </row>
    <row r="34" spans="11:27" ht="16" x14ac:dyDescent="0.2">
      <c r="K34" s="2"/>
      <c r="L34" s="2"/>
      <c r="M34" s="2"/>
      <c r="N34" s="2"/>
      <c r="O34" s="2"/>
      <c r="P34" s="2"/>
      <c r="Q34" s="2"/>
      <c r="R34" s="2"/>
      <c r="T34" s="2">
        <f t="shared" si="14"/>
        <v>3</v>
      </c>
      <c r="U34" s="2">
        <f t="shared" si="21"/>
        <v>7</v>
      </c>
      <c r="V34" s="2" t="str">
        <f t="shared" si="15"/>
        <v>PC-82</v>
      </c>
      <c r="W34" s="2">
        <f t="shared" si="22"/>
        <v>3</v>
      </c>
      <c r="X34" s="2" t="str">
        <f t="shared" si="6"/>
        <v>172.3.7.0/24</v>
      </c>
      <c r="Y34" s="2" t="str">
        <f t="shared" si="7"/>
        <v>172.3.7.4</v>
      </c>
      <c r="Z34" s="2" t="str">
        <f t="shared" si="16"/>
        <v>255.255.255.0</v>
      </c>
      <c r="AA34" s="2" t="str">
        <f t="shared" si="8"/>
        <v>172.3.7.1</v>
      </c>
    </row>
    <row r="35" spans="11:27" ht="16" x14ac:dyDescent="0.2">
      <c r="K35" s="2"/>
      <c r="L35" s="2"/>
      <c r="M35" s="2"/>
      <c r="N35" s="2"/>
      <c r="O35" s="2"/>
      <c r="P35" s="2"/>
      <c r="Q35" s="2"/>
      <c r="R35" s="2"/>
      <c r="T35" s="2">
        <f t="shared" si="14"/>
        <v>3</v>
      </c>
      <c r="U35" s="2">
        <f t="shared" si="21"/>
        <v>7</v>
      </c>
      <c r="V35" s="2" t="str">
        <f t="shared" si="15"/>
        <v>PC-83</v>
      </c>
      <c r="W35" s="2">
        <f t="shared" si="22"/>
        <v>4</v>
      </c>
      <c r="X35" s="2" t="str">
        <f t="shared" si="6"/>
        <v>172.3.7.0/24</v>
      </c>
      <c r="Y35" s="2" t="str">
        <f t="shared" si="7"/>
        <v>172.3.7.5</v>
      </c>
      <c r="Z35" s="2" t="str">
        <f t="shared" si="16"/>
        <v>255.255.255.0</v>
      </c>
      <c r="AA35" s="2" t="str">
        <f t="shared" si="8"/>
        <v>172.3.7.1</v>
      </c>
    </row>
    <row r="36" spans="11:27" ht="16" x14ac:dyDescent="0.2">
      <c r="T36" s="2">
        <f t="shared" si="14"/>
        <v>3</v>
      </c>
      <c r="U36" s="2">
        <f t="shared" si="21"/>
        <v>8</v>
      </c>
      <c r="V36" s="2" t="str">
        <f t="shared" si="15"/>
        <v>PC-84</v>
      </c>
      <c r="W36" s="2">
        <f t="shared" si="22"/>
        <v>1</v>
      </c>
      <c r="X36" s="2" t="str">
        <f t="shared" ref="X36:X87" si="28">_xlfn.CONCAT("172.",T36,".",U36,".0/24")</f>
        <v>172.3.8.0/24</v>
      </c>
      <c r="Y36" s="2" t="str">
        <f t="shared" ref="Y36:Y87" si="29">_xlfn.CONCAT("172.",T36,".",U36,".",W36 + 1)</f>
        <v>172.3.8.2</v>
      </c>
      <c r="Z36" s="2" t="str">
        <f t="shared" si="16"/>
        <v>255.255.255.0</v>
      </c>
      <c r="AA36" s="2" t="str">
        <f t="shared" ref="AA36:AA87" si="30">_xlfn.CONCAT("172.",T36,".",U36,".1")</f>
        <v>172.3.8.1</v>
      </c>
    </row>
    <row r="37" spans="11:27" ht="16" x14ac:dyDescent="0.2">
      <c r="T37" s="2">
        <f t="shared" si="14"/>
        <v>3</v>
      </c>
      <c r="U37" s="2">
        <f t="shared" si="21"/>
        <v>8</v>
      </c>
      <c r="V37" s="2" t="str">
        <f t="shared" si="15"/>
        <v>PC-85</v>
      </c>
      <c r="W37" s="2">
        <f t="shared" si="22"/>
        <v>2</v>
      </c>
      <c r="X37" s="2" t="str">
        <f t="shared" si="28"/>
        <v>172.3.8.0/24</v>
      </c>
      <c r="Y37" s="2" t="str">
        <f t="shared" si="29"/>
        <v>172.3.8.3</v>
      </c>
      <c r="Z37" s="2" t="str">
        <f t="shared" si="16"/>
        <v>255.255.255.0</v>
      </c>
      <c r="AA37" s="2" t="str">
        <f t="shared" si="30"/>
        <v>172.3.8.1</v>
      </c>
    </row>
    <row r="38" spans="11:27" ht="16" x14ac:dyDescent="0.2">
      <c r="T38" s="2">
        <f t="shared" si="14"/>
        <v>3</v>
      </c>
      <c r="U38" s="2">
        <f t="shared" si="21"/>
        <v>8</v>
      </c>
      <c r="V38" s="2" t="str">
        <f t="shared" si="15"/>
        <v>PC-86</v>
      </c>
      <c r="W38" s="2">
        <f t="shared" si="22"/>
        <v>3</v>
      </c>
      <c r="X38" s="2" t="str">
        <f t="shared" si="28"/>
        <v>172.3.8.0/24</v>
      </c>
      <c r="Y38" s="2" t="str">
        <f t="shared" si="29"/>
        <v>172.3.8.4</v>
      </c>
      <c r="Z38" s="2" t="str">
        <f t="shared" si="16"/>
        <v>255.255.255.0</v>
      </c>
      <c r="AA38" s="2" t="str">
        <f t="shared" si="30"/>
        <v>172.3.8.1</v>
      </c>
    </row>
    <row r="39" spans="11:27" ht="16" x14ac:dyDescent="0.2">
      <c r="T39" s="2">
        <f t="shared" si="14"/>
        <v>3</v>
      </c>
      <c r="U39" s="2">
        <f t="shared" si="21"/>
        <v>8</v>
      </c>
      <c r="V39" s="2" t="str">
        <f t="shared" si="15"/>
        <v>PC-87</v>
      </c>
      <c r="W39" s="2">
        <f t="shared" si="22"/>
        <v>4</v>
      </c>
      <c r="X39" s="2" t="str">
        <f t="shared" si="28"/>
        <v>172.3.8.0/24</v>
      </c>
      <c r="Y39" s="2" t="str">
        <f t="shared" si="29"/>
        <v>172.3.8.5</v>
      </c>
      <c r="Z39" s="2" t="str">
        <f t="shared" si="16"/>
        <v>255.255.255.0</v>
      </c>
      <c r="AA39" s="2" t="str">
        <f t="shared" si="30"/>
        <v>172.3.8.1</v>
      </c>
    </row>
    <row r="40" spans="11:27" ht="16" x14ac:dyDescent="0.2">
      <c r="T40" s="2">
        <f t="shared" si="14"/>
        <v>3</v>
      </c>
      <c r="U40" s="2">
        <f t="shared" si="21"/>
        <v>9</v>
      </c>
      <c r="V40" s="2" t="str">
        <f t="shared" si="15"/>
        <v>PC-88</v>
      </c>
      <c r="W40" s="2">
        <f t="shared" si="22"/>
        <v>1</v>
      </c>
      <c r="X40" s="2" t="str">
        <f t="shared" si="28"/>
        <v>172.3.9.0/24</v>
      </c>
      <c r="Y40" s="2" t="str">
        <f t="shared" si="29"/>
        <v>172.3.9.2</v>
      </c>
      <c r="Z40" s="2" t="str">
        <f t="shared" si="16"/>
        <v>255.255.255.0</v>
      </c>
      <c r="AA40" s="2" t="str">
        <f t="shared" si="30"/>
        <v>172.3.9.1</v>
      </c>
    </row>
    <row r="41" spans="11:27" ht="16" x14ac:dyDescent="0.2">
      <c r="T41" s="2">
        <f t="shared" si="14"/>
        <v>3</v>
      </c>
      <c r="U41" s="2">
        <f t="shared" si="21"/>
        <v>9</v>
      </c>
      <c r="V41" s="2" t="str">
        <f t="shared" si="15"/>
        <v>PC-89</v>
      </c>
      <c r="W41" s="2">
        <f t="shared" si="22"/>
        <v>2</v>
      </c>
      <c r="X41" s="2" t="str">
        <f t="shared" si="28"/>
        <v>172.3.9.0/24</v>
      </c>
      <c r="Y41" s="2" t="str">
        <f t="shared" si="29"/>
        <v>172.3.9.3</v>
      </c>
      <c r="Z41" s="2" t="str">
        <f t="shared" si="16"/>
        <v>255.255.255.0</v>
      </c>
      <c r="AA41" s="2" t="str">
        <f t="shared" si="30"/>
        <v>172.3.9.1</v>
      </c>
    </row>
    <row r="42" spans="11:27" ht="16" x14ac:dyDescent="0.2">
      <c r="T42" s="2">
        <f t="shared" si="14"/>
        <v>3</v>
      </c>
      <c r="U42" s="2">
        <f t="shared" si="21"/>
        <v>9</v>
      </c>
      <c r="V42" s="2" t="str">
        <f t="shared" si="15"/>
        <v>PC-90</v>
      </c>
      <c r="W42" s="2">
        <f t="shared" si="22"/>
        <v>3</v>
      </c>
      <c r="X42" s="2" t="str">
        <f t="shared" si="28"/>
        <v>172.3.9.0/24</v>
      </c>
      <c r="Y42" s="2" t="str">
        <f t="shared" si="29"/>
        <v>172.3.9.4</v>
      </c>
      <c r="Z42" s="2" t="str">
        <f t="shared" si="16"/>
        <v>255.255.255.0</v>
      </c>
      <c r="AA42" s="2" t="str">
        <f t="shared" si="30"/>
        <v>172.3.9.1</v>
      </c>
    </row>
    <row r="43" spans="11:27" ht="16" x14ac:dyDescent="0.2">
      <c r="T43" s="2">
        <f t="shared" si="14"/>
        <v>3</v>
      </c>
      <c r="U43" s="2">
        <f t="shared" si="21"/>
        <v>9</v>
      </c>
      <c r="V43" s="2" t="str">
        <f t="shared" si="15"/>
        <v>PC-91</v>
      </c>
      <c r="W43" s="2">
        <f t="shared" si="22"/>
        <v>4</v>
      </c>
      <c r="X43" s="2" t="str">
        <f t="shared" si="28"/>
        <v>172.3.9.0/24</v>
      </c>
      <c r="Y43" s="2" t="str">
        <f t="shared" si="29"/>
        <v>172.3.9.5</v>
      </c>
      <c r="Z43" s="2" t="str">
        <f t="shared" si="16"/>
        <v>255.255.255.0</v>
      </c>
      <c r="AA43" s="2" t="str">
        <f t="shared" si="30"/>
        <v>172.3.9.1</v>
      </c>
    </row>
    <row r="44" spans="11:27" ht="16" x14ac:dyDescent="0.2">
      <c r="T44" s="2">
        <f t="shared" si="14"/>
        <v>3</v>
      </c>
      <c r="U44" s="2">
        <f t="shared" si="21"/>
        <v>10</v>
      </c>
      <c r="V44" s="2" t="str">
        <f t="shared" si="15"/>
        <v>PC-92</v>
      </c>
      <c r="W44" s="2">
        <f t="shared" si="22"/>
        <v>1</v>
      </c>
      <c r="X44" s="2" t="str">
        <f t="shared" si="28"/>
        <v>172.3.10.0/24</v>
      </c>
      <c r="Y44" s="2" t="str">
        <f t="shared" si="29"/>
        <v>172.3.10.2</v>
      </c>
      <c r="Z44" s="2" t="str">
        <f t="shared" si="16"/>
        <v>255.255.255.0</v>
      </c>
      <c r="AA44" s="2" t="str">
        <f t="shared" si="30"/>
        <v>172.3.10.1</v>
      </c>
    </row>
    <row r="45" spans="11:27" ht="16" x14ac:dyDescent="0.2">
      <c r="T45" s="2">
        <f t="shared" si="14"/>
        <v>3</v>
      </c>
      <c r="U45" s="2">
        <f t="shared" si="21"/>
        <v>10</v>
      </c>
      <c r="V45" s="2" t="str">
        <f t="shared" si="15"/>
        <v>PC-93</v>
      </c>
      <c r="W45" s="2">
        <f t="shared" si="22"/>
        <v>2</v>
      </c>
      <c r="X45" s="2" t="str">
        <f t="shared" si="28"/>
        <v>172.3.10.0/24</v>
      </c>
      <c r="Y45" s="2" t="str">
        <f t="shared" si="29"/>
        <v>172.3.10.3</v>
      </c>
      <c r="Z45" s="2" t="str">
        <f t="shared" si="16"/>
        <v>255.255.255.0</v>
      </c>
      <c r="AA45" s="2" t="str">
        <f t="shared" si="30"/>
        <v>172.3.10.1</v>
      </c>
    </row>
    <row r="46" spans="11:27" ht="16" x14ac:dyDescent="0.2">
      <c r="T46" s="2">
        <f t="shared" si="14"/>
        <v>3</v>
      </c>
      <c r="U46" s="2">
        <f t="shared" si="21"/>
        <v>10</v>
      </c>
      <c r="V46" s="2" t="str">
        <f t="shared" si="15"/>
        <v>PC-94</v>
      </c>
      <c r="W46" s="2">
        <f t="shared" si="22"/>
        <v>3</v>
      </c>
      <c r="X46" s="2" t="str">
        <f t="shared" si="28"/>
        <v>172.3.10.0/24</v>
      </c>
      <c r="Y46" s="2" t="str">
        <f t="shared" si="29"/>
        <v>172.3.10.4</v>
      </c>
      <c r="Z46" s="2" t="str">
        <f t="shared" si="16"/>
        <v>255.255.255.0</v>
      </c>
      <c r="AA46" s="2" t="str">
        <f t="shared" si="30"/>
        <v>172.3.10.1</v>
      </c>
    </row>
    <row r="47" spans="11:27" ht="16" x14ac:dyDescent="0.2">
      <c r="T47" s="2">
        <f t="shared" si="14"/>
        <v>3</v>
      </c>
      <c r="U47" s="2">
        <f t="shared" si="21"/>
        <v>10</v>
      </c>
      <c r="V47" s="2" t="str">
        <f t="shared" si="15"/>
        <v>PC-95</v>
      </c>
      <c r="W47" s="2">
        <f t="shared" si="22"/>
        <v>4</v>
      </c>
      <c r="X47" s="2" t="str">
        <f t="shared" si="28"/>
        <v>172.3.10.0/24</v>
      </c>
      <c r="Y47" s="2" t="str">
        <f t="shared" si="29"/>
        <v>172.3.10.5</v>
      </c>
      <c r="Z47" s="2" t="str">
        <f t="shared" si="16"/>
        <v>255.255.255.0</v>
      </c>
      <c r="AA47" s="2" t="str">
        <f t="shared" si="30"/>
        <v>172.3.10.1</v>
      </c>
    </row>
    <row r="48" spans="11:27" ht="16" x14ac:dyDescent="0.2">
      <c r="T48" s="2">
        <f t="shared" si="14"/>
        <v>3</v>
      </c>
      <c r="U48" s="2">
        <f t="shared" si="21"/>
        <v>11</v>
      </c>
      <c r="V48" s="2" t="str">
        <f t="shared" si="15"/>
        <v>PC-96</v>
      </c>
      <c r="W48" s="2">
        <f t="shared" si="22"/>
        <v>1</v>
      </c>
      <c r="X48" s="2" t="str">
        <f t="shared" si="28"/>
        <v>172.3.11.0/24</v>
      </c>
      <c r="Y48" s="2" t="str">
        <f t="shared" si="29"/>
        <v>172.3.11.2</v>
      </c>
      <c r="Z48" s="2" t="str">
        <f t="shared" si="16"/>
        <v>255.255.255.0</v>
      </c>
      <c r="AA48" s="2" t="str">
        <f t="shared" si="30"/>
        <v>172.3.11.1</v>
      </c>
    </row>
    <row r="49" spans="20:27" ht="16" x14ac:dyDescent="0.2">
      <c r="T49" s="2">
        <f t="shared" si="14"/>
        <v>3</v>
      </c>
      <c r="U49" s="2">
        <f t="shared" si="21"/>
        <v>11</v>
      </c>
      <c r="V49" s="2" t="str">
        <f t="shared" si="15"/>
        <v>PC-97</v>
      </c>
      <c r="W49" s="2">
        <f t="shared" si="22"/>
        <v>2</v>
      </c>
      <c r="X49" s="2" t="str">
        <f t="shared" si="28"/>
        <v>172.3.11.0/24</v>
      </c>
      <c r="Y49" s="2" t="str">
        <f t="shared" si="29"/>
        <v>172.3.11.3</v>
      </c>
      <c r="Z49" s="2" t="str">
        <f t="shared" si="16"/>
        <v>255.255.255.0</v>
      </c>
      <c r="AA49" s="2" t="str">
        <f t="shared" si="30"/>
        <v>172.3.11.1</v>
      </c>
    </row>
    <row r="50" spans="20:27" ht="16" x14ac:dyDescent="0.2">
      <c r="T50" s="2">
        <f t="shared" si="14"/>
        <v>3</v>
      </c>
      <c r="U50" s="2">
        <f t="shared" si="21"/>
        <v>11</v>
      </c>
      <c r="V50" s="2" t="str">
        <f t="shared" si="15"/>
        <v>PC-98</v>
      </c>
      <c r="W50" s="2">
        <f t="shared" si="22"/>
        <v>3</v>
      </c>
      <c r="X50" s="2" t="str">
        <f t="shared" si="28"/>
        <v>172.3.11.0/24</v>
      </c>
      <c r="Y50" s="2" t="str">
        <f t="shared" si="29"/>
        <v>172.3.11.4</v>
      </c>
      <c r="Z50" s="2" t="str">
        <f t="shared" si="16"/>
        <v>255.255.255.0</v>
      </c>
      <c r="AA50" s="2" t="str">
        <f t="shared" si="30"/>
        <v>172.3.11.1</v>
      </c>
    </row>
    <row r="51" spans="20:27" ht="16" x14ac:dyDescent="0.2">
      <c r="T51" s="2">
        <f t="shared" si="14"/>
        <v>3</v>
      </c>
      <c r="U51" s="2">
        <f t="shared" si="21"/>
        <v>11</v>
      </c>
      <c r="V51" s="2" t="str">
        <f t="shared" si="15"/>
        <v>PC-99</v>
      </c>
      <c r="W51" s="2">
        <f t="shared" si="22"/>
        <v>4</v>
      </c>
      <c r="X51" s="2" t="str">
        <f t="shared" si="28"/>
        <v>172.3.11.0/24</v>
      </c>
      <c r="Y51" s="2" t="str">
        <f t="shared" si="29"/>
        <v>172.3.11.5</v>
      </c>
      <c r="Z51" s="2" t="str">
        <f t="shared" si="16"/>
        <v>255.255.255.0</v>
      </c>
      <c r="AA51" s="2" t="str">
        <f t="shared" si="30"/>
        <v>172.3.11.1</v>
      </c>
    </row>
    <row r="52" spans="20:27" ht="16" x14ac:dyDescent="0.2">
      <c r="T52" s="2">
        <f t="shared" si="14"/>
        <v>3</v>
      </c>
      <c r="U52" s="2">
        <f t="shared" si="21"/>
        <v>12</v>
      </c>
      <c r="V52" s="2" t="str">
        <f t="shared" si="15"/>
        <v>PC-100</v>
      </c>
      <c r="W52" s="2">
        <f t="shared" si="22"/>
        <v>1</v>
      </c>
      <c r="X52" s="2" t="str">
        <f t="shared" si="28"/>
        <v>172.3.12.0/24</v>
      </c>
      <c r="Y52" s="2" t="str">
        <f t="shared" si="29"/>
        <v>172.3.12.2</v>
      </c>
      <c r="Z52" s="2" t="str">
        <f t="shared" si="16"/>
        <v>255.255.255.0</v>
      </c>
      <c r="AA52" s="2" t="str">
        <f t="shared" si="30"/>
        <v>172.3.12.1</v>
      </c>
    </row>
    <row r="53" spans="20:27" ht="16" x14ac:dyDescent="0.2">
      <c r="T53" s="2">
        <f t="shared" si="14"/>
        <v>3</v>
      </c>
      <c r="U53" s="2">
        <f t="shared" si="21"/>
        <v>12</v>
      </c>
      <c r="V53" s="2" t="str">
        <f t="shared" si="15"/>
        <v>PC-101</v>
      </c>
      <c r="W53" s="2">
        <f t="shared" si="22"/>
        <v>2</v>
      </c>
      <c r="X53" s="2" t="str">
        <f t="shared" si="28"/>
        <v>172.3.12.0/24</v>
      </c>
      <c r="Y53" s="2" t="str">
        <f t="shared" si="29"/>
        <v>172.3.12.3</v>
      </c>
      <c r="Z53" s="2" t="str">
        <f t="shared" si="16"/>
        <v>255.255.255.0</v>
      </c>
      <c r="AA53" s="2" t="str">
        <f t="shared" si="30"/>
        <v>172.3.12.1</v>
      </c>
    </row>
    <row r="54" spans="20:27" ht="16" x14ac:dyDescent="0.2">
      <c r="T54" s="2">
        <f t="shared" si="14"/>
        <v>3</v>
      </c>
      <c r="U54" s="2">
        <f t="shared" si="21"/>
        <v>12</v>
      </c>
      <c r="V54" s="2" t="str">
        <f t="shared" si="15"/>
        <v>PC-102</v>
      </c>
      <c r="W54" s="2">
        <f t="shared" si="22"/>
        <v>3</v>
      </c>
      <c r="X54" s="2" t="str">
        <f t="shared" si="28"/>
        <v>172.3.12.0/24</v>
      </c>
      <c r="Y54" s="2" t="str">
        <f t="shared" si="29"/>
        <v>172.3.12.4</v>
      </c>
      <c r="Z54" s="2" t="str">
        <f t="shared" si="16"/>
        <v>255.255.255.0</v>
      </c>
      <c r="AA54" s="2" t="str">
        <f t="shared" si="30"/>
        <v>172.3.12.1</v>
      </c>
    </row>
    <row r="55" spans="20:27" ht="16" x14ac:dyDescent="0.2">
      <c r="T55" s="2">
        <f t="shared" si="14"/>
        <v>3</v>
      </c>
      <c r="U55" s="2">
        <f t="shared" si="21"/>
        <v>12</v>
      </c>
      <c r="V55" s="2" t="str">
        <f t="shared" si="15"/>
        <v>PC-103</v>
      </c>
      <c r="W55" s="2">
        <f t="shared" si="22"/>
        <v>4</v>
      </c>
      <c r="X55" s="2" t="str">
        <f t="shared" si="28"/>
        <v>172.3.12.0/24</v>
      </c>
      <c r="Y55" s="2" t="str">
        <f t="shared" si="29"/>
        <v>172.3.12.5</v>
      </c>
      <c r="Z55" s="2" t="str">
        <f t="shared" si="16"/>
        <v>255.255.255.0</v>
      </c>
      <c r="AA55" s="2" t="str">
        <f t="shared" si="30"/>
        <v>172.3.12.1</v>
      </c>
    </row>
    <row r="56" spans="20:27" ht="16" x14ac:dyDescent="0.2">
      <c r="T56" s="2">
        <f t="shared" si="14"/>
        <v>3</v>
      </c>
      <c r="U56" s="2">
        <f t="shared" si="21"/>
        <v>13</v>
      </c>
      <c r="V56" s="2" t="str">
        <f t="shared" si="15"/>
        <v>PC-104</v>
      </c>
      <c r="W56" s="2">
        <f t="shared" si="22"/>
        <v>1</v>
      </c>
      <c r="X56" s="2" t="str">
        <f t="shared" si="28"/>
        <v>172.3.13.0/24</v>
      </c>
      <c r="Y56" s="2" t="str">
        <f t="shared" si="29"/>
        <v>172.3.13.2</v>
      </c>
      <c r="Z56" s="2" t="str">
        <f t="shared" si="16"/>
        <v>255.255.255.0</v>
      </c>
      <c r="AA56" s="2" t="str">
        <f t="shared" si="30"/>
        <v>172.3.13.1</v>
      </c>
    </row>
    <row r="57" spans="20:27" ht="16" x14ac:dyDescent="0.2">
      <c r="T57" s="2">
        <f t="shared" si="14"/>
        <v>3</v>
      </c>
      <c r="U57" s="2">
        <f t="shared" si="21"/>
        <v>13</v>
      </c>
      <c r="V57" s="2" t="str">
        <f t="shared" si="15"/>
        <v>PC-105</v>
      </c>
      <c r="W57" s="2">
        <f t="shared" si="22"/>
        <v>2</v>
      </c>
      <c r="X57" s="2" t="str">
        <f t="shared" si="28"/>
        <v>172.3.13.0/24</v>
      </c>
      <c r="Y57" s="2" t="str">
        <f t="shared" si="29"/>
        <v>172.3.13.3</v>
      </c>
      <c r="Z57" s="2" t="str">
        <f t="shared" si="16"/>
        <v>255.255.255.0</v>
      </c>
      <c r="AA57" s="2" t="str">
        <f t="shared" si="30"/>
        <v>172.3.13.1</v>
      </c>
    </row>
    <row r="58" spans="20:27" ht="16" x14ac:dyDescent="0.2">
      <c r="T58" s="2">
        <f t="shared" si="14"/>
        <v>3</v>
      </c>
      <c r="U58" s="2">
        <f t="shared" si="21"/>
        <v>13</v>
      </c>
      <c r="V58" s="2" t="str">
        <f t="shared" si="15"/>
        <v>PC-106</v>
      </c>
      <c r="W58" s="2">
        <f t="shared" si="22"/>
        <v>3</v>
      </c>
      <c r="X58" s="2" t="str">
        <f t="shared" si="28"/>
        <v>172.3.13.0/24</v>
      </c>
      <c r="Y58" s="2" t="str">
        <f t="shared" si="29"/>
        <v>172.3.13.4</v>
      </c>
      <c r="Z58" s="2" t="str">
        <f t="shared" si="16"/>
        <v>255.255.255.0</v>
      </c>
      <c r="AA58" s="2" t="str">
        <f t="shared" si="30"/>
        <v>172.3.13.1</v>
      </c>
    </row>
    <row r="59" spans="20:27" ht="16" x14ac:dyDescent="0.2">
      <c r="T59" s="2">
        <f t="shared" si="14"/>
        <v>3</v>
      </c>
      <c r="U59" s="2">
        <f t="shared" si="21"/>
        <v>13</v>
      </c>
      <c r="V59" s="2" t="str">
        <f t="shared" si="15"/>
        <v>PC-107</v>
      </c>
      <c r="W59" s="2">
        <f t="shared" si="22"/>
        <v>4</v>
      </c>
      <c r="X59" s="2" t="str">
        <f t="shared" si="28"/>
        <v>172.3.13.0/24</v>
      </c>
      <c r="Y59" s="2" t="str">
        <f t="shared" si="29"/>
        <v>172.3.13.5</v>
      </c>
      <c r="Z59" s="2" t="str">
        <f t="shared" si="16"/>
        <v>255.255.255.0</v>
      </c>
      <c r="AA59" s="2" t="str">
        <f t="shared" si="30"/>
        <v>172.3.13.1</v>
      </c>
    </row>
    <row r="60" spans="20:27" ht="16" x14ac:dyDescent="0.2">
      <c r="T60" s="2">
        <f t="shared" si="14"/>
        <v>3</v>
      </c>
      <c r="U60" s="2">
        <f t="shared" si="21"/>
        <v>14</v>
      </c>
      <c r="V60" s="2" t="str">
        <f t="shared" si="15"/>
        <v>PC-108</v>
      </c>
      <c r="W60" s="2">
        <f t="shared" si="22"/>
        <v>1</v>
      </c>
      <c r="X60" s="2" t="str">
        <f t="shared" si="28"/>
        <v>172.3.14.0/24</v>
      </c>
      <c r="Y60" s="2" t="str">
        <f t="shared" si="29"/>
        <v>172.3.14.2</v>
      </c>
      <c r="Z60" s="2" t="str">
        <f t="shared" si="16"/>
        <v>255.255.255.0</v>
      </c>
      <c r="AA60" s="2" t="str">
        <f t="shared" si="30"/>
        <v>172.3.14.1</v>
      </c>
    </row>
    <row r="61" spans="20:27" ht="16" x14ac:dyDescent="0.2">
      <c r="T61" s="2">
        <f t="shared" si="14"/>
        <v>3</v>
      </c>
      <c r="U61" s="2">
        <f t="shared" si="21"/>
        <v>14</v>
      </c>
      <c r="V61" s="2" t="str">
        <f t="shared" si="15"/>
        <v>PC-109</v>
      </c>
      <c r="W61" s="2">
        <f t="shared" si="22"/>
        <v>2</v>
      </c>
      <c r="X61" s="2" t="str">
        <f t="shared" si="28"/>
        <v>172.3.14.0/24</v>
      </c>
      <c r="Y61" s="2" t="str">
        <f t="shared" si="29"/>
        <v>172.3.14.3</v>
      </c>
      <c r="Z61" s="2" t="str">
        <f t="shared" si="16"/>
        <v>255.255.255.0</v>
      </c>
      <c r="AA61" s="2" t="str">
        <f t="shared" si="30"/>
        <v>172.3.14.1</v>
      </c>
    </row>
    <row r="62" spans="20:27" ht="16" x14ac:dyDescent="0.2">
      <c r="T62" s="2">
        <f t="shared" si="14"/>
        <v>3</v>
      </c>
      <c r="U62" s="2">
        <f t="shared" si="21"/>
        <v>14</v>
      </c>
      <c r="V62" s="2" t="str">
        <f t="shared" si="15"/>
        <v>PC-110</v>
      </c>
      <c r="W62" s="2">
        <f t="shared" si="22"/>
        <v>3</v>
      </c>
      <c r="X62" s="2" t="str">
        <f t="shared" si="28"/>
        <v>172.3.14.0/24</v>
      </c>
      <c r="Y62" s="2" t="str">
        <f t="shared" si="29"/>
        <v>172.3.14.4</v>
      </c>
      <c r="Z62" s="2" t="str">
        <f t="shared" si="16"/>
        <v>255.255.255.0</v>
      </c>
      <c r="AA62" s="2" t="str">
        <f t="shared" si="30"/>
        <v>172.3.14.1</v>
      </c>
    </row>
    <row r="63" spans="20:27" ht="16" x14ac:dyDescent="0.2">
      <c r="T63" s="2">
        <f t="shared" si="14"/>
        <v>3</v>
      </c>
      <c r="U63" s="2">
        <f t="shared" si="21"/>
        <v>14</v>
      </c>
      <c r="V63" s="2" t="str">
        <f t="shared" si="15"/>
        <v>PC-111</v>
      </c>
      <c r="W63" s="2">
        <f t="shared" si="22"/>
        <v>4</v>
      </c>
      <c r="X63" s="2" t="str">
        <f t="shared" si="28"/>
        <v>172.3.14.0/24</v>
      </c>
      <c r="Y63" s="2" t="str">
        <f t="shared" si="29"/>
        <v>172.3.14.5</v>
      </c>
      <c r="Z63" s="2" t="str">
        <f t="shared" si="16"/>
        <v>255.255.255.0</v>
      </c>
      <c r="AA63" s="2" t="str">
        <f t="shared" si="30"/>
        <v>172.3.14.1</v>
      </c>
    </row>
    <row r="64" spans="20:27" ht="16" x14ac:dyDescent="0.2">
      <c r="T64" s="2">
        <f t="shared" si="14"/>
        <v>3</v>
      </c>
      <c r="U64" s="2">
        <f t="shared" si="21"/>
        <v>15</v>
      </c>
      <c r="V64" s="2" t="str">
        <f t="shared" si="15"/>
        <v>PC-112</v>
      </c>
      <c r="W64" s="2">
        <f t="shared" si="22"/>
        <v>1</v>
      </c>
      <c r="X64" s="2" t="str">
        <f t="shared" si="28"/>
        <v>172.3.15.0/24</v>
      </c>
      <c r="Y64" s="2" t="str">
        <f t="shared" si="29"/>
        <v>172.3.15.2</v>
      </c>
      <c r="Z64" s="2" t="str">
        <f t="shared" si="16"/>
        <v>255.255.255.0</v>
      </c>
      <c r="AA64" s="2" t="str">
        <f t="shared" si="30"/>
        <v>172.3.15.1</v>
      </c>
    </row>
    <row r="65" spans="20:27" ht="16" x14ac:dyDescent="0.2">
      <c r="T65" s="2">
        <f t="shared" si="14"/>
        <v>3</v>
      </c>
      <c r="U65" s="2">
        <f t="shared" si="21"/>
        <v>15</v>
      </c>
      <c r="V65" s="2" t="str">
        <f t="shared" si="15"/>
        <v>PC-113</v>
      </c>
      <c r="W65" s="2">
        <f t="shared" si="22"/>
        <v>2</v>
      </c>
      <c r="X65" s="2" t="str">
        <f t="shared" si="28"/>
        <v>172.3.15.0/24</v>
      </c>
      <c r="Y65" s="2" t="str">
        <f t="shared" si="29"/>
        <v>172.3.15.3</v>
      </c>
      <c r="Z65" s="2" t="str">
        <f t="shared" si="16"/>
        <v>255.255.255.0</v>
      </c>
      <c r="AA65" s="2" t="str">
        <f t="shared" si="30"/>
        <v>172.3.15.1</v>
      </c>
    </row>
    <row r="66" spans="20:27" ht="16" x14ac:dyDescent="0.2">
      <c r="T66" s="2">
        <f t="shared" si="14"/>
        <v>3</v>
      </c>
      <c r="U66" s="2">
        <f t="shared" si="21"/>
        <v>15</v>
      </c>
      <c r="V66" s="2" t="str">
        <f t="shared" si="15"/>
        <v>PC-114</v>
      </c>
      <c r="W66" s="2">
        <f t="shared" si="22"/>
        <v>3</v>
      </c>
      <c r="X66" s="2" t="str">
        <f t="shared" si="28"/>
        <v>172.3.15.0/24</v>
      </c>
      <c r="Y66" s="2" t="str">
        <f t="shared" si="29"/>
        <v>172.3.15.4</v>
      </c>
      <c r="Z66" s="2" t="str">
        <f t="shared" si="16"/>
        <v>255.255.255.0</v>
      </c>
      <c r="AA66" s="2" t="str">
        <f t="shared" si="30"/>
        <v>172.3.15.1</v>
      </c>
    </row>
    <row r="67" spans="20:27" ht="16" x14ac:dyDescent="0.2">
      <c r="T67" s="2">
        <f t="shared" si="14"/>
        <v>3</v>
      </c>
      <c r="U67" s="2">
        <f t="shared" si="21"/>
        <v>15</v>
      </c>
      <c r="V67" s="2" t="str">
        <f t="shared" si="15"/>
        <v>PC-115</v>
      </c>
      <c r="W67" s="2">
        <f t="shared" si="22"/>
        <v>4</v>
      </c>
      <c r="X67" s="2" t="str">
        <f t="shared" si="28"/>
        <v>172.3.15.0/24</v>
      </c>
      <c r="Y67" s="2" t="str">
        <f t="shared" si="29"/>
        <v>172.3.15.5</v>
      </c>
      <c r="Z67" s="2" t="str">
        <f t="shared" si="16"/>
        <v>255.255.255.0</v>
      </c>
      <c r="AA67" s="2" t="str">
        <f t="shared" si="30"/>
        <v>172.3.15.1</v>
      </c>
    </row>
    <row r="68" spans="20:27" ht="16" x14ac:dyDescent="0.2">
      <c r="T68" s="2">
        <f t="shared" si="14"/>
        <v>3</v>
      </c>
      <c r="U68" s="2">
        <f t="shared" si="21"/>
        <v>16</v>
      </c>
      <c r="V68" s="2" t="str">
        <f t="shared" si="15"/>
        <v>PC-116</v>
      </c>
      <c r="W68" s="2">
        <f t="shared" si="22"/>
        <v>1</v>
      </c>
      <c r="X68" s="2" t="str">
        <f t="shared" si="28"/>
        <v>172.3.16.0/24</v>
      </c>
      <c r="Y68" s="2" t="str">
        <f t="shared" si="29"/>
        <v>172.3.16.2</v>
      </c>
      <c r="Z68" s="2" t="str">
        <f t="shared" si="16"/>
        <v>255.255.255.0</v>
      </c>
      <c r="AA68" s="2" t="str">
        <f t="shared" si="30"/>
        <v>172.3.16.1</v>
      </c>
    </row>
    <row r="69" spans="20:27" ht="16" x14ac:dyDescent="0.2">
      <c r="T69" s="2">
        <f t="shared" si="14"/>
        <v>3</v>
      </c>
      <c r="U69" s="2">
        <f t="shared" si="21"/>
        <v>16</v>
      </c>
      <c r="V69" s="2" t="str">
        <f t="shared" si="15"/>
        <v>PC-117</v>
      </c>
      <c r="W69" s="2">
        <f t="shared" si="22"/>
        <v>2</v>
      </c>
      <c r="X69" s="2" t="str">
        <f t="shared" si="28"/>
        <v>172.3.16.0/24</v>
      </c>
      <c r="Y69" s="2" t="str">
        <f t="shared" si="29"/>
        <v>172.3.16.3</v>
      </c>
      <c r="Z69" s="2" t="str">
        <f t="shared" si="16"/>
        <v>255.255.255.0</v>
      </c>
      <c r="AA69" s="2" t="str">
        <f t="shared" si="30"/>
        <v>172.3.16.1</v>
      </c>
    </row>
    <row r="70" spans="20:27" ht="16" x14ac:dyDescent="0.2">
      <c r="T70" s="2">
        <f t="shared" ref="T70:T87" si="31">T69</f>
        <v>3</v>
      </c>
      <c r="U70" s="2">
        <f t="shared" si="21"/>
        <v>16</v>
      </c>
      <c r="V70" s="2" t="str">
        <f t="shared" ref="V70:V87" si="32">_xlfn.CONCAT("PC-",MID(V69,FIND("-",V69)+ 1, LEN(V69))+1)</f>
        <v>PC-118</v>
      </c>
      <c r="W70" s="2">
        <f t="shared" si="22"/>
        <v>3</v>
      </c>
      <c r="X70" s="2" t="str">
        <f t="shared" si="28"/>
        <v>172.3.16.0/24</v>
      </c>
      <c r="Y70" s="2" t="str">
        <f t="shared" si="29"/>
        <v>172.3.16.4</v>
      </c>
      <c r="Z70" s="2" t="str">
        <f t="shared" ref="Z70:Z87" si="33">Z69</f>
        <v>255.255.255.0</v>
      </c>
      <c r="AA70" s="2" t="str">
        <f t="shared" si="30"/>
        <v>172.3.16.1</v>
      </c>
    </row>
    <row r="71" spans="20:27" ht="16" x14ac:dyDescent="0.2">
      <c r="T71" s="2">
        <f t="shared" si="31"/>
        <v>3</v>
      </c>
      <c r="U71" s="2">
        <f t="shared" si="21"/>
        <v>16</v>
      </c>
      <c r="V71" s="2" t="str">
        <f t="shared" si="32"/>
        <v>PC-119</v>
      </c>
      <c r="W71" s="2">
        <f t="shared" si="22"/>
        <v>4</v>
      </c>
      <c r="X71" s="2" t="str">
        <f t="shared" si="28"/>
        <v>172.3.16.0/24</v>
      </c>
      <c r="Y71" s="2" t="str">
        <f t="shared" si="29"/>
        <v>172.3.16.5</v>
      </c>
      <c r="Z71" s="2" t="str">
        <f t="shared" si="33"/>
        <v>255.255.255.0</v>
      </c>
      <c r="AA71" s="2" t="str">
        <f t="shared" si="30"/>
        <v>172.3.16.1</v>
      </c>
    </row>
    <row r="72" spans="20:27" ht="16" x14ac:dyDescent="0.2">
      <c r="T72" s="2">
        <f t="shared" si="31"/>
        <v>3</v>
      </c>
      <c r="U72" s="2">
        <f t="shared" si="21"/>
        <v>17</v>
      </c>
      <c r="V72" s="2" t="str">
        <f t="shared" si="32"/>
        <v>PC-120</v>
      </c>
      <c r="W72" s="2">
        <f t="shared" si="22"/>
        <v>1</v>
      </c>
      <c r="X72" s="2" t="str">
        <f t="shared" si="28"/>
        <v>172.3.17.0/24</v>
      </c>
      <c r="Y72" s="2" t="str">
        <f t="shared" si="29"/>
        <v>172.3.17.2</v>
      </c>
      <c r="Z72" s="2" t="str">
        <f t="shared" si="33"/>
        <v>255.255.255.0</v>
      </c>
      <c r="AA72" s="2" t="str">
        <f t="shared" si="30"/>
        <v>172.3.17.1</v>
      </c>
    </row>
    <row r="73" spans="20:27" ht="16" x14ac:dyDescent="0.2">
      <c r="T73" s="2">
        <f t="shared" si="31"/>
        <v>3</v>
      </c>
      <c r="U73" s="2">
        <f t="shared" ref="U73:U87" si="34">U69+1</f>
        <v>17</v>
      </c>
      <c r="V73" s="2" t="str">
        <f t="shared" si="32"/>
        <v>PC-121</v>
      </c>
      <c r="W73" s="2">
        <f t="shared" ref="W73:W87" si="35">W69</f>
        <v>2</v>
      </c>
      <c r="X73" s="2" t="str">
        <f t="shared" si="28"/>
        <v>172.3.17.0/24</v>
      </c>
      <c r="Y73" s="2" t="str">
        <f t="shared" si="29"/>
        <v>172.3.17.3</v>
      </c>
      <c r="Z73" s="2" t="str">
        <f t="shared" si="33"/>
        <v>255.255.255.0</v>
      </c>
      <c r="AA73" s="2" t="str">
        <f t="shared" si="30"/>
        <v>172.3.17.1</v>
      </c>
    </row>
    <row r="74" spans="20:27" ht="16" x14ac:dyDescent="0.2">
      <c r="T74" s="2">
        <f t="shared" si="31"/>
        <v>3</v>
      </c>
      <c r="U74" s="2">
        <f t="shared" si="34"/>
        <v>17</v>
      </c>
      <c r="V74" s="2" t="str">
        <f t="shared" si="32"/>
        <v>PC-122</v>
      </c>
      <c r="W74" s="2">
        <f t="shared" si="35"/>
        <v>3</v>
      </c>
      <c r="X74" s="2" t="str">
        <f t="shared" si="28"/>
        <v>172.3.17.0/24</v>
      </c>
      <c r="Y74" s="2" t="str">
        <f t="shared" si="29"/>
        <v>172.3.17.4</v>
      </c>
      <c r="Z74" s="2" t="str">
        <f t="shared" si="33"/>
        <v>255.255.255.0</v>
      </c>
      <c r="AA74" s="2" t="str">
        <f t="shared" si="30"/>
        <v>172.3.17.1</v>
      </c>
    </row>
    <row r="75" spans="20:27" ht="16" x14ac:dyDescent="0.2">
      <c r="T75" s="2">
        <f t="shared" si="31"/>
        <v>3</v>
      </c>
      <c r="U75" s="2">
        <f t="shared" si="34"/>
        <v>17</v>
      </c>
      <c r="V75" s="2" t="str">
        <f t="shared" si="32"/>
        <v>PC-123</v>
      </c>
      <c r="W75" s="2">
        <f t="shared" si="35"/>
        <v>4</v>
      </c>
      <c r="X75" s="2" t="str">
        <f t="shared" si="28"/>
        <v>172.3.17.0/24</v>
      </c>
      <c r="Y75" s="2" t="str">
        <f t="shared" si="29"/>
        <v>172.3.17.5</v>
      </c>
      <c r="Z75" s="2" t="str">
        <f t="shared" si="33"/>
        <v>255.255.255.0</v>
      </c>
      <c r="AA75" s="2" t="str">
        <f t="shared" si="30"/>
        <v>172.3.17.1</v>
      </c>
    </row>
    <row r="76" spans="20:27" ht="16" x14ac:dyDescent="0.2">
      <c r="T76" s="2">
        <f t="shared" si="31"/>
        <v>3</v>
      </c>
      <c r="U76" s="2">
        <f t="shared" si="34"/>
        <v>18</v>
      </c>
      <c r="V76" s="2" t="str">
        <f t="shared" si="32"/>
        <v>PC-124</v>
      </c>
      <c r="W76" s="2">
        <f t="shared" si="35"/>
        <v>1</v>
      </c>
      <c r="X76" s="2" t="str">
        <f t="shared" si="28"/>
        <v>172.3.18.0/24</v>
      </c>
      <c r="Y76" s="2" t="str">
        <f t="shared" si="29"/>
        <v>172.3.18.2</v>
      </c>
      <c r="Z76" s="2" t="str">
        <f t="shared" si="33"/>
        <v>255.255.255.0</v>
      </c>
      <c r="AA76" s="2" t="str">
        <f t="shared" si="30"/>
        <v>172.3.18.1</v>
      </c>
    </row>
    <row r="77" spans="20:27" ht="16" x14ac:dyDescent="0.2">
      <c r="T77" s="2">
        <f t="shared" si="31"/>
        <v>3</v>
      </c>
      <c r="U77" s="2">
        <f t="shared" si="34"/>
        <v>18</v>
      </c>
      <c r="V77" s="2" t="str">
        <f t="shared" si="32"/>
        <v>PC-125</v>
      </c>
      <c r="W77" s="2">
        <f t="shared" si="35"/>
        <v>2</v>
      </c>
      <c r="X77" s="2" t="str">
        <f t="shared" si="28"/>
        <v>172.3.18.0/24</v>
      </c>
      <c r="Y77" s="2" t="str">
        <f t="shared" si="29"/>
        <v>172.3.18.3</v>
      </c>
      <c r="Z77" s="2" t="str">
        <f t="shared" si="33"/>
        <v>255.255.255.0</v>
      </c>
      <c r="AA77" s="2" t="str">
        <f t="shared" si="30"/>
        <v>172.3.18.1</v>
      </c>
    </row>
    <row r="78" spans="20:27" ht="16" x14ac:dyDescent="0.2">
      <c r="T78" s="2">
        <f t="shared" si="31"/>
        <v>3</v>
      </c>
      <c r="U78" s="2">
        <f t="shared" si="34"/>
        <v>18</v>
      </c>
      <c r="V78" s="2" t="str">
        <f t="shared" si="32"/>
        <v>PC-126</v>
      </c>
      <c r="W78" s="2">
        <f t="shared" si="35"/>
        <v>3</v>
      </c>
      <c r="X78" s="2" t="str">
        <f t="shared" si="28"/>
        <v>172.3.18.0/24</v>
      </c>
      <c r="Y78" s="2" t="str">
        <f t="shared" si="29"/>
        <v>172.3.18.4</v>
      </c>
      <c r="Z78" s="2" t="str">
        <f t="shared" si="33"/>
        <v>255.255.255.0</v>
      </c>
      <c r="AA78" s="2" t="str">
        <f t="shared" si="30"/>
        <v>172.3.18.1</v>
      </c>
    </row>
    <row r="79" spans="20:27" ht="16" x14ac:dyDescent="0.2">
      <c r="T79" s="2">
        <f t="shared" si="31"/>
        <v>3</v>
      </c>
      <c r="U79" s="2">
        <f t="shared" si="34"/>
        <v>18</v>
      </c>
      <c r="V79" s="2" t="str">
        <f t="shared" si="32"/>
        <v>PC-127</v>
      </c>
      <c r="W79" s="2">
        <f t="shared" si="35"/>
        <v>4</v>
      </c>
      <c r="X79" s="2" t="str">
        <f t="shared" si="28"/>
        <v>172.3.18.0/24</v>
      </c>
      <c r="Y79" s="2" t="str">
        <f t="shared" si="29"/>
        <v>172.3.18.5</v>
      </c>
      <c r="Z79" s="2" t="str">
        <f t="shared" si="33"/>
        <v>255.255.255.0</v>
      </c>
      <c r="AA79" s="2" t="str">
        <f t="shared" si="30"/>
        <v>172.3.18.1</v>
      </c>
    </row>
    <row r="80" spans="20:27" ht="16" x14ac:dyDescent="0.2">
      <c r="T80" s="2">
        <f t="shared" si="31"/>
        <v>3</v>
      </c>
      <c r="U80" s="2">
        <f t="shared" si="34"/>
        <v>19</v>
      </c>
      <c r="V80" s="2" t="str">
        <f t="shared" si="32"/>
        <v>PC-128</v>
      </c>
      <c r="W80" s="2">
        <f t="shared" si="35"/>
        <v>1</v>
      </c>
      <c r="X80" s="2" t="str">
        <f t="shared" si="28"/>
        <v>172.3.19.0/24</v>
      </c>
      <c r="Y80" s="2" t="str">
        <f t="shared" si="29"/>
        <v>172.3.19.2</v>
      </c>
      <c r="Z80" s="2" t="str">
        <f t="shared" si="33"/>
        <v>255.255.255.0</v>
      </c>
      <c r="AA80" s="2" t="str">
        <f t="shared" si="30"/>
        <v>172.3.19.1</v>
      </c>
    </row>
    <row r="81" spans="20:27" ht="16" x14ac:dyDescent="0.2">
      <c r="T81" s="2">
        <f t="shared" si="31"/>
        <v>3</v>
      </c>
      <c r="U81" s="2">
        <f t="shared" si="34"/>
        <v>19</v>
      </c>
      <c r="V81" s="2" t="str">
        <f t="shared" si="32"/>
        <v>PC-129</v>
      </c>
      <c r="W81" s="2">
        <f t="shared" si="35"/>
        <v>2</v>
      </c>
      <c r="X81" s="2" t="str">
        <f t="shared" si="28"/>
        <v>172.3.19.0/24</v>
      </c>
      <c r="Y81" s="2" t="str">
        <f t="shared" si="29"/>
        <v>172.3.19.3</v>
      </c>
      <c r="Z81" s="2" t="str">
        <f t="shared" si="33"/>
        <v>255.255.255.0</v>
      </c>
      <c r="AA81" s="2" t="str">
        <f t="shared" si="30"/>
        <v>172.3.19.1</v>
      </c>
    </row>
    <row r="82" spans="20:27" ht="16" x14ac:dyDescent="0.2">
      <c r="T82" s="2">
        <f t="shared" si="31"/>
        <v>3</v>
      </c>
      <c r="U82" s="2">
        <f t="shared" si="34"/>
        <v>19</v>
      </c>
      <c r="V82" s="2" t="str">
        <f t="shared" si="32"/>
        <v>PC-130</v>
      </c>
      <c r="W82" s="2">
        <f t="shared" si="35"/>
        <v>3</v>
      </c>
      <c r="X82" s="2" t="str">
        <f t="shared" si="28"/>
        <v>172.3.19.0/24</v>
      </c>
      <c r="Y82" s="2" t="str">
        <f t="shared" si="29"/>
        <v>172.3.19.4</v>
      </c>
      <c r="Z82" s="2" t="str">
        <f t="shared" si="33"/>
        <v>255.255.255.0</v>
      </c>
      <c r="AA82" s="2" t="str">
        <f t="shared" si="30"/>
        <v>172.3.19.1</v>
      </c>
    </row>
    <row r="83" spans="20:27" ht="16" x14ac:dyDescent="0.2">
      <c r="T83" s="2">
        <f t="shared" si="31"/>
        <v>3</v>
      </c>
      <c r="U83" s="2">
        <f t="shared" si="34"/>
        <v>19</v>
      </c>
      <c r="V83" s="2" t="str">
        <f t="shared" si="32"/>
        <v>PC-131</v>
      </c>
      <c r="W83" s="2">
        <f t="shared" si="35"/>
        <v>4</v>
      </c>
      <c r="X83" s="2" t="str">
        <f t="shared" si="28"/>
        <v>172.3.19.0/24</v>
      </c>
      <c r="Y83" s="2" t="str">
        <f t="shared" si="29"/>
        <v>172.3.19.5</v>
      </c>
      <c r="Z83" s="2" t="str">
        <f t="shared" si="33"/>
        <v>255.255.255.0</v>
      </c>
      <c r="AA83" s="2" t="str">
        <f t="shared" si="30"/>
        <v>172.3.19.1</v>
      </c>
    </row>
    <row r="84" spans="20:27" ht="16" x14ac:dyDescent="0.2">
      <c r="T84" s="2">
        <f t="shared" si="31"/>
        <v>3</v>
      </c>
      <c r="U84" s="2">
        <f t="shared" si="34"/>
        <v>20</v>
      </c>
      <c r="V84" s="2" t="str">
        <f t="shared" si="32"/>
        <v>PC-132</v>
      </c>
      <c r="W84" s="2">
        <f t="shared" si="35"/>
        <v>1</v>
      </c>
      <c r="X84" s="2" t="str">
        <f t="shared" si="28"/>
        <v>172.3.20.0/24</v>
      </c>
      <c r="Y84" s="2" t="str">
        <f t="shared" si="29"/>
        <v>172.3.20.2</v>
      </c>
      <c r="Z84" s="2" t="str">
        <f t="shared" si="33"/>
        <v>255.255.255.0</v>
      </c>
      <c r="AA84" s="2" t="str">
        <f t="shared" si="30"/>
        <v>172.3.20.1</v>
      </c>
    </row>
    <row r="85" spans="20:27" ht="16" x14ac:dyDescent="0.2">
      <c r="T85" s="2">
        <f t="shared" si="31"/>
        <v>3</v>
      </c>
      <c r="U85" s="2">
        <f t="shared" si="34"/>
        <v>20</v>
      </c>
      <c r="V85" s="2" t="str">
        <f t="shared" si="32"/>
        <v>PC-133</v>
      </c>
      <c r="W85" s="2">
        <f t="shared" si="35"/>
        <v>2</v>
      </c>
      <c r="X85" s="2" t="str">
        <f t="shared" si="28"/>
        <v>172.3.20.0/24</v>
      </c>
      <c r="Y85" s="2" t="str">
        <f t="shared" si="29"/>
        <v>172.3.20.3</v>
      </c>
      <c r="Z85" s="2" t="str">
        <f t="shared" si="33"/>
        <v>255.255.255.0</v>
      </c>
      <c r="AA85" s="2" t="str">
        <f t="shared" si="30"/>
        <v>172.3.20.1</v>
      </c>
    </row>
    <row r="86" spans="20:27" ht="16" x14ac:dyDescent="0.2">
      <c r="T86" s="2">
        <f t="shared" si="31"/>
        <v>3</v>
      </c>
      <c r="U86" s="2">
        <f t="shared" si="34"/>
        <v>20</v>
      </c>
      <c r="V86" s="2" t="str">
        <f t="shared" si="32"/>
        <v>PC-134</v>
      </c>
      <c r="W86" s="2">
        <f t="shared" si="35"/>
        <v>3</v>
      </c>
      <c r="X86" s="2" t="str">
        <f t="shared" si="28"/>
        <v>172.3.20.0/24</v>
      </c>
      <c r="Y86" s="2" t="str">
        <f t="shared" si="29"/>
        <v>172.3.20.4</v>
      </c>
      <c r="Z86" s="2" t="str">
        <f t="shared" si="33"/>
        <v>255.255.255.0</v>
      </c>
      <c r="AA86" s="2" t="str">
        <f t="shared" si="30"/>
        <v>172.3.20.1</v>
      </c>
    </row>
    <row r="87" spans="20:27" ht="16" x14ac:dyDescent="0.2">
      <c r="T87" s="2">
        <f t="shared" si="31"/>
        <v>3</v>
      </c>
      <c r="U87" s="2">
        <f t="shared" si="34"/>
        <v>20</v>
      </c>
      <c r="V87" s="2" t="str">
        <f t="shared" si="32"/>
        <v>PC-135</v>
      </c>
      <c r="W87" s="2">
        <f t="shared" si="35"/>
        <v>4</v>
      </c>
      <c r="X87" s="2" t="str">
        <f t="shared" si="28"/>
        <v>172.3.20.0/24</v>
      </c>
      <c r="Y87" s="2" t="str">
        <f t="shared" si="29"/>
        <v>172.3.20.5</v>
      </c>
      <c r="Z87" s="2" t="str">
        <f t="shared" si="33"/>
        <v>255.255.255.0</v>
      </c>
      <c r="AA87" s="2" t="str">
        <f t="shared" si="30"/>
        <v>172.3.20.1</v>
      </c>
    </row>
    <row r="88" spans="20:27" ht="16" x14ac:dyDescent="0.2">
      <c r="U88" s="2"/>
    </row>
    <row r="89" spans="20:27" ht="16" x14ac:dyDescent="0.2">
      <c r="U89" s="2"/>
    </row>
    <row r="90" spans="20:27" ht="16" x14ac:dyDescent="0.2">
      <c r="U90" s="2"/>
    </row>
    <row r="91" spans="20:27" ht="16" x14ac:dyDescent="0.2">
      <c r="U91" s="2"/>
    </row>
    <row r="92" spans="20:27" ht="16" x14ac:dyDescent="0.2">
      <c r="U92" s="2"/>
    </row>
    <row r="93" spans="20:27" ht="16" x14ac:dyDescent="0.2">
      <c r="U93" s="2"/>
    </row>
    <row r="94" spans="20:27" ht="16" x14ac:dyDescent="0.2">
      <c r="U94" s="2"/>
    </row>
    <row r="95" spans="20:27" ht="16" x14ac:dyDescent="0.2">
      <c r="U95" s="2"/>
    </row>
    <row r="96" spans="20:27" ht="16" x14ac:dyDescent="0.2">
      <c r="U96" s="2"/>
    </row>
    <row r="97" spans="21:21" ht="16" x14ac:dyDescent="0.2">
      <c r="U97" s="2"/>
    </row>
    <row r="98" spans="21:21" ht="16" x14ac:dyDescent="0.2">
      <c r="U98" s="2"/>
    </row>
    <row r="99" spans="21:21" ht="16" x14ac:dyDescent="0.2">
      <c r="U99" s="2"/>
    </row>
    <row r="100" spans="21:21" ht="16" x14ac:dyDescent="0.2">
      <c r="U100" s="2"/>
    </row>
    <row r="101" spans="21:21" ht="16" x14ac:dyDescent="0.2">
      <c r="U101" s="2"/>
    </row>
    <row r="102" spans="21:21" ht="16" x14ac:dyDescent="0.2">
      <c r="U102" s="2"/>
    </row>
    <row r="103" spans="21:21" ht="16" x14ac:dyDescent="0.2">
      <c r="U103" s="2"/>
    </row>
    <row r="104" spans="21:21" ht="16" x14ac:dyDescent="0.2">
      <c r="U104" s="2"/>
    </row>
    <row r="105" spans="21:21" ht="16" x14ac:dyDescent="0.2">
      <c r="U105" s="2"/>
    </row>
    <row r="106" spans="21:21" ht="16" x14ac:dyDescent="0.2">
      <c r="U106" s="2"/>
    </row>
    <row r="107" spans="21:21" ht="16" x14ac:dyDescent="0.2">
      <c r="U107" s="2"/>
    </row>
    <row r="108" spans="21:21" ht="16" x14ac:dyDescent="0.2">
      <c r="U108" s="2"/>
    </row>
    <row r="109" spans="21:21" ht="16" x14ac:dyDescent="0.2">
      <c r="U109" s="2"/>
    </row>
    <row r="110" spans="21:21" ht="16" x14ac:dyDescent="0.2">
      <c r="U110" s="2"/>
    </row>
    <row r="111" spans="21:21" ht="16" x14ac:dyDescent="0.2">
      <c r="U111" s="2"/>
    </row>
    <row r="112" spans="21:21" ht="16" x14ac:dyDescent="0.2">
      <c r="U112" s="2"/>
    </row>
    <row r="113" spans="21:21" ht="16" x14ac:dyDescent="0.2">
      <c r="U113" s="2"/>
    </row>
    <row r="114" spans="21:21" ht="16" x14ac:dyDescent="0.2">
      <c r="U114" s="2"/>
    </row>
    <row r="115" spans="21:21" ht="16" x14ac:dyDescent="0.2">
      <c r="U115" s="2"/>
    </row>
    <row r="116" spans="21:21" ht="16" x14ac:dyDescent="0.2">
      <c r="U116" s="2"/>
    </row>
    <row r="117" spans="21:21" ht="16" x14ac:dyDescent="0.2">
      <c r="U117" s="2"/>
    </row>
    <row r="118" spans="21:21" ht="16" x14ac:dyDescent="0.2">
      <c r="U118" s="2"/>
    </row>
    <row r="119" spans="21:21" ht="16" x14ac:dyDescent="0.2">
      <c r="U119" s="2"/>
    </row>
    <row r="120" spans="21:21" ht="16" x14ac:dyDescent="0.2">
      <c r="U120" s="2"/>
    </row>
    <row r="121" spans="21:21" ht="16" x14ac:dyDescent="0.2">
      <c r="U121" s="2"/>
    </row>
    <row r="122" spans="21:21" ht="16" x14ac:dyDescent="0.2">
      <c r="U122" s="2"/>
    </row>
    <row r="123" spans="21:21" ht="16" x14ac:dyDescent="0.2">
      <c r="U123" s="2"/>
    </row>
    <row r="124" spans="21:21" ht="16" x14ac:dyDescent="0.2">
      <c r="U124" s="2"/>
    </row>
    <row r="125" spans="21:21" ht="16" x14ac:dyDescent="0.2">
      <c r="U125" s="2"/>
    </row>
    <row r="126" spans="21:21" ht="16" x14ac:dyDescent="0.2">
      <c r="U126" s="2"/>
    </row>
    <row r="127" spans="21:21" ht="16" x14ac:dyDescent="0.2">
      <c r="U127" s="2"/>
    </row>
  </sheetData>
  <mergeCells count="3">
    <mergeCell ref="B2:I2"/>
    <mergeCell ref="K2:R2"/>
    <mergeCell ref="T2:A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8C0C-1DC0-BF43-AA93-3109A8F64BBF}">
  <sheetPr codeName="Sheet2"/>
  <dimension ref="B2:AA127"/>
  <sheetViews>
    <sheetView tabSelected="1" topLeftCell="P40" zoomScale="160" zoomScaleNormal="160" workbookViewId="0">
      <selection activeCell="S51" sqref="S51"/>
    </sheetView>
  </sheetViews>
  <sheetFormatPr baseColWidth="10" defaultRowHeight="15" x14ac:dyDescent="0.2"/>
  <cols>
    <col min="2" max="2" width="9.5" bestFit="1" customWidth="1"/>
    <col min="3" max="3" width="6.1640625" bestFit="1" customWidth="1"/>
    <col min="4" max="4" width="6.5" bestFit="1" customWidth="1"/>
    <col min="5" max="5" width="2.5" bestFit="1" customWidth="1"/>
    <col min="6" max="6" width="13" bestFit="1" customWidth="1"/>
    <col min="7" max="7" width="14.5" bestFit="1" customWidth="1"/>
    <col min="8" max="8" width="9.83203125" bestFit="1" customWidth="1"/>
    <col min="9" max="9" width="10.6640625" bestFit="1" customWidth="1"/>
    <col min="11" max="11" width="9.5" bestFit="1" customWidth="1"/>
    <col min="12" max="12" width="6.1640625" bestFit="1" customWidth="1"/>
    <col min="13" max="13" width="6.5" bestFit="1" customWidth="1"/>
    <col min="14" max="14" width="2.5" bestFit="1" customWidth="1"/>
    <col min="15" max="15" width="13" bestFit="1" customWidth="1"/>
    <col min="16" max="16" width="14.5" bestFit="1" customWidth="1"/>
    <col min="17" max="17" width="9.83203125" bestFit="1" customWidth="1"/>
    <col min="18" max="18" width="10.1640625" bestFit="1" customWidth="1"/>
    <col min="20" max="20" width="9.5" bestFit="1" customWidth="1"/>
    <col min="21" max="21" width="6.1640625" bestFit="1" customWidth="1"/>
    <col min="22" max="22" width="7.5" bestFit="1" customWidth="1"/>
    <col min="23" max="23" width="2.5" bestFit="1" customWidth="1"/>
    <col min="24" max="24" width="13.83203125" bestFit="1" customWidth="1"/>
    <col min="25" max="25" width="14.5" bestFit="1" customWidth="1"/>
    <col min="26" max="26" width="14.1640625" bestFit="1" customWidth="1"/>
    <col min="27" max="27" width="10.6640625" bestFit="1" customWidth="1"/>
  </cols>
  <sheetData>
    <row r="2" spans="2:27" ht="18" x14ac:dyDescent="0.2">
      <c r="B2" s="4" t="s">
        <v>33</v>
      </c>
      <c r="C2" s="4"/>
      <c r="D2" s="4"/>
      <c r="E2" s="4"/>
      <c r="F2" s="4"/>
      <c r="G2" s="4"/>
      <c r="H2" s="4"/>
      <c r="I2" s="4"/>
      <c r="K2" s="4" t="s">
        <v>34</v>
      </c>
      <c r="L2" s="4"/>
      <c r="M2" s="4"/>
      <c r="N2" s="4"/>
      <c r="O2" s="4"/>
      <c r="P2" s="4"/>
      <c r="Q2" s="4"/>
      <c r="R2" s="4"/>
      <c r="T2" s="4" t="s">
        <v>35</v>
      </c>
      <c r="U2" s="4"/>
      <c r="V2" s="4"/>
      <c r="W2" s="4"/>
      <c r="X2" s="4"/>
      <c r="Y2" s="4"/>
      <c r="Z2" s="4"/>
      <c r="AA2" s="4"/>
    </row>
    <row r="3" spans="2:27" ht="16" x14ac:dyDescent="0.2">
      <c r="B3" s="1" t="s">
        <v>32</v>
      </c>
      <c r="C3" s="1" t="s">
        <v>29</v>
      </c>
      <c r="D3" s="1" t="s">
        <v>1</v>
      </c>
      <c r="E3" s="1" t="s">
        <v>0</v>
      </c>
      <c r="F3" s="1" t="s">
        <v>30</v>
      </c>
      <c r="G3" s="1" t="s">
        <v>26</v>
      </c>
      <c r="H3" s="1" t="s">
        <v>27</v>
      </c>
      <c r="I3" s="1" t="s">
        <v>28</v>
      </c>
      <c r="K3" s="1" t="s">
        <v>32</v>
      </c>
      <c r="L3" s="1" t="s">
        <v>29</v>
      </c>
      <c r="M3" s="1" t="s">
        <v>1</v>
      </c>
      <c r="N3" s="1" t="s">
        <v>0</v>
      </c>
      <c r="O3" s="1" t="s">
        <v>30</v>
      </c>
      <c r="P3" s="1" t="s">
        <v>26</v>
      </c>
      <c r="Q3" s="1" t="s">
        <v>27</v>
      </c>
      <c r="R3" s="1" t="s">
        <v>28</v>
      </c>
      <c r="T3" s="1" t="s">
        <v>32</v>
      </c>
      <c r="U3" s="1" t="s">
        <v>29</v>
      </c>
      <c r="V3" s="1" t="s">
        <v>1</v>
      </c>
      <c r="W3" s="1" t="s">
        <v>0</v>
      </c>
      <c r="X3" s="1" t="s">
        <v>30</v>
      </c>
      <c r="Y3" s="1" t="s">
        <v>26</v>
      </c>
      <c r="Z3" s="1" t="s">
        <v>27</v>
      </c>
      <c r="AA3" s="1" t="s">
        <v>28</v>
      </c>
    </row>
    <row r="4" spans="2:27" ht="16" x14ac:dyDescent="0.2">
      <c r="B4" s="3">
        <v>1</v>
      </c>
      <c r="C4" s="3">
        <v>0</v>
      </c>
      <c r="D4" s="3" t="s">
        <v>2</v>
      </c>
      <c r="E4" s="3">
        <v>1</v>
      </c>
      <c r="F4" s="3" t="str">
        <f>_xlfn.CONCAT("2001:",B4,":",C4 + 1,"::/112")</f>
        <v>2001:1:1::/112</v>
      </c>
      <c r="G4" s="3" t="str">
        <f>_xlfn.CONCAT("2001:",B4,":",C4+1,"::",E4 + 1)</f>
        <v>2001:1:1::2</v>
      </c>
      <c r="H4" s="3">
        <v>112</v>
      </c>
      <c r="I4" s="3" t="str">
        <f>_xlfn.CONCAT("2001:",B4,":",C4+1,"::1")</f>
        <v>2001:1:1::1</v>
      </c>
      <c r="K4" s="5">
        <v>2</v>
      </c>
      <c r="L4" s="5">
        <v>0</v>
      </c>
      <c r="M4" s="5" t="str">
        <f>_xlfn.CONCAT("PC-",MID(D27,FIND("-",D27)+ 1, LEN(D27))+1)</f>
        <v>PC-24</v>
      </c>
      <c r="N4" s="5">
        <v>1</v>
      </c>
      <c r="O4" s="5" t="str">
        <f>_xlfn.CONCAT("2001:",K4,":",L4 + 1,"::/112")</f>
        <v>2001:2:1::/112</v>
      </c>
      <c r="P4" s="5" t="str">
        <f>_xlfn.CONCAT("2001:",K4,":",L4+1,"::",N4 + 1)</f>
        <v>2001:2:1::2</v>
      </c>
      <c r="Q4" s="5">
        <v>112</v>
      </c>
      <c r="R4" s="5" t="str">
        <f>_xlfn.CONCAT("2001:",K4,":",L4+1,"::1")</f>
        <v>2001:2:1::1</v>
      </c>
      <c r="T4" s="5">
        <v>3</v>
      </c>
      <c r="U4" s="5">
        <v>0</v>
      </c>
      <c r="V4" s="5" t="str">
        <f>_xlfn.CONCAT("PC-",MID(M31,FIND("-",M31)+ 1, LEN(M31))+1)</f>
        <v>PC-52</v>
      </c>
      <c r="W4" s="5">
        <v>1</v>
      </c>
      <c r="X4" s="5" t="str">
        <f>_xlfn.CONCAT("2001:",T4,":",U4 + 1,"::/112")</f>
        <v>2001:3:1::/112</v>
      </c>
      <c r="Y4" s="5" t="str">
        <f>_xlfn.CONCAT("2001:",T4,":",U4+1,"::",W4 + 1)</f>
        <v>2001:3:1::2</v>
      </c>
      <c r="Z4" s="5">
        <v>112</v>
      </c>
      <c r="AA4" s="5" t="str">
        <f>_xlfn.CONCAT("2001:",T4,":",U4+1,"::1")</f>
        <v>2001:3:1::1</v>
      </c>
    </row>
    <row r="5" spans="2:27" ht="16" x14ac:dyDescent="0.2">
      <c r="B5" s="3">
        <f>B4</f>
        <v>1</v>
      </c>
      <c r="C5" s="3">
        <v>0</v>
      </c>
      <c r="D5" s="3" t="s">
        <v>3</v>
      </c>
      <c r="E5" s="3">
        <v>2</v>
      </c>
      <c r="F5" s="3" t="str">
        <f t="shared" ref="F5:F27" si="0">_xlfn.CONCAT("2001:",B5,":",C5 + 1,"::/112")</f>
        <v>2001:1:1::/112</v>
      </c>
      <c r="G5" s="3" t="str">
        <f t="shared" ref="G5:G27" si="1">_xlfn.CONCAT("2001:",B5,":",C5+1,"::",E5 + 1)</f>
        <v>2001:1:1::3</v>
      </c>
      <c r="H5" s="3">
        <v>112</v>
      </c>
      <c r="I5" s="3" t="str">
        <f t="shared" ref="I5:I27" si="2">_xlfn.CONCAT("2001:",B5,":",C5+1,"::1")</f>
        <v>2001:1:1::1</v>
      </c>
      <c r="K5" s="5">
        <f>K4</f>
        <v>2</v>
      </c>
      <c r="L5" s="5">
        <v>0</v>
      </c>
      <c r="M5" s="5" t="str">
        <f>_xlfn.CONCAT("PC-",MID(M4,FIND("-",M4)+ 1, LEN(M4))+1)</f>
        <v>PC-25</v>
      </c>
      <c r="N5" s="5">
        <v>2</v>
      </c>
      <c r="O5" s="5" t="str">
        <f t="shared" ref="O5:O31" si="3">_xlfn.CONCAT("2001:",K5,":",L5 + 1,"::/112")</f>
        <v>2001:2:1::/112</v>
      </c>
      <c r="P5" s="5" t="str">
        <f t="shared" ref="P5:P31" si="4">_xlfn.CONCAT("2001:",K5,":",L5+1,"::",N5 + 1)</f>
        <v>2001:2:1::3</v>
      </c>
      <c r="Q5" s="5">
        <v>112</v>
      </c>
      <c r="R5" s="5" t="str">
        <f t="shared" ref="R5:R31" si="5">_xlfn.CONCAT("2001:",K5,":",L5+1,"::1")</f>
        <v>2001:2:1::1</v>
      </c>
      <c r="T5" s="5">
        <f>T4</f>
        <v>3</v>
      </c>
      <c r="U5" s="5">
        <v>0</v>
      </c>
      <c r="V5" s="5" t="str">
        <f>_xlfn.CONCAT("PC-",MID(V4,FIND("-",V4)+ 1, LEN(V4))+1)</f>
        <v>PC-53</v>
      </c>
      <c r="W5" s="5">
        <v>2</v>
      </c>
      <c r="X5" s="5" t="str">
        <f t="shared" ref="X5:X68" si="6">_xlfn.CONCAT("2001:",T5,":",U5 + 1,"::/112")</f>
        <v>2001:3:1::/112</v>
      </c>
      <c r="Y5" s="5" t="str">
        <f t="shared" ref="Y5:Y68" si="7">_xlfn.CONCAT("2001:",T5,":",U5+1,"::",W5 + 1)</f>
        <v>2001:3:1::3</v>
      </c>
      <c r="Z5" s="5">
        <v>112</v>
      </c>
      <c r="AA5" s="5" t="str">
        <f t="shared" ref="AA5:AA68" si="8">_xlfn.CONCAT("2001:",T5,":",U5+1,"::1")</f>
        <v>2001:3:1::1</v>
      </c>
    </row>
    <row r="6" spans="2:27" ht="16" x14ac:dyDescent="0.2">
      <c r="B6" s="3">
        <f t="shared" ref="B6:B27" si="9">B5</f>
        <v>1</v>
      </c>
      <c r="C6" s="3">
        <v>0</v>
      </c>
      <c r="D6" s="3" t="s">
        <v>4</v>
      </c>
      <c r="E6" s="3">
        <v>3</v>
      </c>
      <c r="F6" s="3" t="str">
        <f t="shared" si="0"/>
        <v>2001:1:1::/112</v>
      </c>
      <c r="G6" s="3" t="str">
        <f t="shared" si="1"/>
        <v>2001:1:1::4</v>
      </c>
      <c r="H6" s="3">
        <v>112</v>
      </c>
      <c r="I6" s="3" t="str">
        <f t="shared" si="2"/>
        <v>2001:1:1::1</v>
      </c>
      <c r="K6" s="5">
        <f t="shared" ref="K6:K31" si="10">K5</f>
        <v>2</v>
      </c>
      <c r="L6" s="5">
        <v>0</v>
      </c>
      <c r="M6" s="5" t="str">
        <f t="shared" ref="M6:M31" si="11">_xlfn.CONCAT("PC-",MID(M5,FIND("-",M5)+ 1, LEN(M5))+1)</f>
        <v>PC-26</v>
      </c>
      <c r="N6" s="5">
        <v>3</v>
      </c>
      <c r="O6" s="5" t="str">
        <f t="shared" si="3"/>
        <v>2001:2:1::/112</v>
      </c>
      <c r="P6" s="5" t="str">
        <f t="shared" si="4"/>
        <v>2001:2:1::4</v>
      </c>
      <c r="Q6" s="5">
        <v>112</v>
      </c>
      <c r="R6" s="5" t="str">
        <f t="shared" si="5"/>
        <v>2001:2:1::1</v>
      </c>
      <c r="T6" s="5">
        <f t="shared" ref="T6:T69" si="12">T5</f>
        <v>3</v>
      </c>
      <c r="U6" s="5">
        <v>0</v>
      </c>
      <c r="V6" s="5" t="str">
        <f t="shared" ref="V6:V69" si="13">_xlfn.CONCAT("PC-",MID(V5,FIND("-",V5)+ 1, LEN(V5))+1)</f>
        <v>PC-54</v>
      </c>
      <c r="W6" s="5">
        <v>3</v>
      </c>
      <c r="X6" s="5" t="str">
        <f t="shared" si="6"/>
        <v>2001:3:1::/112</v>
      </c>
      <c r="Y6" s="5" t="str">
        <f t="shared" si="7"/>
        <v>2001:3:1::4</v>
      </c>
      <c r="Z6" s="5">
        <v>112</v>
      </c>
      <c r="AA6" s="5" t="str">
        <f t="shared" si="8"/>
        <v>2001:3:1::1</v>
      </c>
    </row>
    <row r="7" spans="2:27" ht="16" x14ac:dyDescent="0.2">
      <c r="B7" s="3">
        <f t="shared" si="9"/>
        <v>1</v>
      </c>
      <c r="C7" s="3">
        <v>0</v>
      </c>
      <c r="D7" s="3" t="s">
        <v>5</v>
      </c>
      <c r="E7" s="3">
        <v>4</v>
      </c>
      <c r="F7" s="3" t="str">
        <f t="shared" si="0"/>
        <v>2001:1:1::/112</v>
      </c>
      <c r="G7" s="3" t="str">
        <f t="shared" si="1"/>
        <v>2001:1:1::5</v>
      </c>
      <c r="H7" s="3">
        <v>112</v>
      </c>
      <c r="I7" s="3" t="str">
        <f t="shared" si="2"/>
        <v>2001:1:1::1</v>
      </c>
      <c r="K7" s="5">
        <f t="shared" si="10"/>
        <v>2</v>
      </c>
      <c r="L7" s="5">
        <v>0</v>
      </c>
      <c r="M7" s="5" t="str">
        <f t="shared" si="11"/>
        <v>PC-27</v>
      </c>
      <c r="N7" s="5">
        <v>4</v>
      </c>
      <c r="O7" s="5" t="str">
        <f t="shared" si="3"/>
        <v>2001:2:1::/112</v>
      </c>
      <c r="P7" s="5" t="str">
        <f t="shared" si="4"/>
        <v>2001:2:1::5</v>
      </c>
      <c r="Q7" s="5">
        <v>112</v>
      </c>
      <c r="R7" s="5" t="str">
        <f t="shared" si="5"/>
        <v>2001:2:1::1</v>
      </c>
      <c r="T7" s="5">
        <f t="shared" si="12"/>
        <v>3</v>
      </c>
      <c r="U7" s="5">
        <v>0</v>
      </c>
      <c r="V7" s="5" t="str">
        <f t="shared" si="13"/>
        <v>PC-55</v>
      </c>
      <c r="W7" s="5">
        <v>4</v>
      </c>
      <c r="X7" s="5" t="str">
        <f t="shared" si="6"/>
        <v>2001:3:1::/112</v>
      </c>
      <c r="Y7" s="5" t="str">
        <f t="shared" si="7"/>
        <v>2001:3:1::5</v>
      </c>
      <c r="Z7" s="5">
        <v>112</v>
      </c>
      <c r="AA7" s="5" t="str">
        <f t="shared" si="8"/>
        <v>2001:3:1::1</v>
      </c>
    </row>
    <row r="8" spans="2:27" ht="16" x14ac:dyDescent="0.2">
      <c r="B8" s="3">
        <f t="shared" si="9"/>
        <v>1</v>
      </c>
      <c r="C8" s="3">
        <f>C4+1</f>
        <v>1</v>
      </c>
      <c r="D8" s="3" t="s">
        <v>6</v>
      </c>
      <c r="E8" s="3">
        <f>E4</f>
        <v>1</v>
      </c>
      <c r="F8" s="3" t="str">
        <f t="shared" si="0"/>
        <v>2001:1:2::/112</v>
      </c>
      <c r="G8" s="3" t="str">
        <f t="shared" si="1"/>
        <v>2001:1:2::2</v>
      </c>
      <c r="H8" s="3">
        <v>112</v>
      </c>
      <c r="I8" s="3" t="str">
        <f t="shared" si="2"/>
        <v>2001:1:2::1</v>
      </c>
      <c r="K8" s="2">
        <f t="shared" si="10"/>
        <v>2</v>
      </c>
      <c r="L8" s="2">
        <f>L4+1</f>
        <v>1</v>
      </c>
      <c r="M8" s="2" t="str">
        <f t="shared" si="11"/>
        <v>PC-28</v>
      </c>
      <c r="N8" s="2">
        <f>N4</f>
        <v>1</v>
      </c>
      <c r="O8" s="2" t="str">
        <f t="shared" si="3"/>
        <v>2001:2:2::/112</v>
      </c>
      <c r="P8" s="2" t="str">
        <f t="shared" si="4"/>
        <v>2001:2:2::2</v>
      </c>
      <c r="Q8" s="2">
        <v>112</v>
      </c>
      <c r="R8" s="2" t="str">
        <f t="shared" si="5"/>
        <v>2001:2:2::1</v>
      </c>
      <c r="T8" s="5">
        <f t="shared" si="12"/>
        <v>3</v>
      </c>
      <c r="U8" s="5">
        <f>U4+1</f>
        <v>1</v>
      </c>
      <c r="V8" s="5" t="str">
        <f t="shared" si="13"/>
        <v>PC-56</v>
      </c>
      <c r="W8" s="5">
        <f>W4</f>
        <v>1</v>
      </c>
      <c r="X8" s="5" t="str">
        <f t="shared" si="6"/>
        <v>2001:3:2::/112</v>
      </c>
      <c r="Y8" s="5" t="str">
        <f t="shared" si="7"/>
        <v>2001:3:2::2</v>
      </c>
      <c r="Z8" s="5">
        <v>112</v>
      </c>
      <c r="AA8" s="5" t="str">
        <f t="shared" si="8"/>
        <v>2001:3:2::1</v>
      </c>
    </row>
    <row r="9" spans="2:27" ht="16" x14ac:dyDescent="0.2">
      <c r="B9" s="3">
        <f t="shared" si="9"/>
        <v>1</v>
      </c>
      <c r="C9" s="3">
        <f t="shared" ref="C9:C27" si="14">C5+1</f>
        <v>1</v>
      </c>
      <c r="D9" s="3" t="s">
        <v>7</v>
      </c>
      <c r="E9" s="3">
        <f t="shared" ref="E9:E27" si="15">E5</f>
        <v>2</v>
      </c>
      <c r="F9" s="3" t="str">
        <f t="shared" si="0"/>
        <v>2001:1:2::/112</v>
      </c>
      <c r="G9" s="3" t="str">
        <f t="shared" si="1"/>
        <v>2001:1:2::3</v>
      </c>
      <c r="H9" s="3">
        <v>112</v>
      </c>
      <c r="I9" s="3" t="str">
        <f t="shared" si="2"/>
        <v>2001:1:2::1</v>
      </c>
      <c r="K9" s="2">
        <f t="shared" si="10"/>
        <v>2</v>
      </c>
      <c r="L9" s="2">
        <f t="shared" ref="L9:L31" si="16">L5+1</f>
        <v>1</v>
      </c>
      <c r="M9" s="2" t="str">
        <f t="shared" si="11"/>
        <v>PC-29</v>
      </c>
      <c r="N9" s="2">
        <f t="shared" ref="N9:N31" si="17">N5</f>
        <v>2</v>
      </c>
      <c r="O9" s="2" t="str">
        <f t="shared" si="3"/>
        <v>2001:2:2::/112</v>
      </c>
      <c r="P9" s="2" t="str">
        <f t="shared" si="4"/>
        <v>2001:2:2::3</v>
      </c>
      <c r="Q9" s="2">
        <v>112</v>
      </c>
      <c r="R9" s="2" t="str">
        <f t="shared" si="5"/>
        <v>2001:2:2::1</v>
      </c>
      <c r="T9" s="5">
        <f t="shared" si="12"/>
        <v>3</v>
      </c>
      <c r="U9" s="5">
        <f t="shared" ref="U9:U72" si="18">U5+1</f>
        <v>1</v>
      </c>
      <c r="V9" s="5" t="str">
        <f t="shared" si="13"/>
        <v>PC-57</v>
      </c>
      <c r="W9" s="5">
        <f t="shared" ref="W9:W72" si="19">W5</f>
        <v>2</v>
      </c>
      <c r="X9" s="5" t="str">
        <f t="shared" si="6"/>
        <v>2001:3:2::/112</v>
      </c>
      <c r="Y9" s="5" t="str">
        <f t="shared" si="7"/>
        <v>2001:3:2::3</v>
      </c>
      <c r="Z9" s="5">
        <v>112</v>
      </c>
      <c r="AA9" s="5" t="str">
        <f t="shared" si="8"/>
        <v>2001:3:2::1</v>
      </c>
    </row>
    <row r="10" spans="2:27" ht="16" x14ac:dyDescent="0.2">
      <c r="B10" s="3">
        <f t="shared" si="9"/>
        <v>1</v>
      </c>
      <c r="C10" s="3">
        <f t="shared" si="14"/>
        <v>1</v>
      </c>
      <c r="D10" s="3" t="s">
        <v>8</v>
      </c>
      <c r="E10" s="3">
        <f t="shared" si="15"/>
        <v>3</v>
      </c>
      <c r="F10" s="3" t="str">
        <f t="shared" si="0"/>
        <v>2001:1:2::/112</v>
      </c>
      <c r="G10" s="3" t="str">
        <f t="shared" si="1"/>
        <v>2001:1:2::4</v>
      </c>
      <c r="H10" s="3">
        <v>112</v>
      </c>
      <c r="I10" s="3" t="str">
        <f t="shared" si="2"/>
        <v>2001:1:2::1</v>
      </c>
      <c r="K10" s="2">
        <f t="shared" si="10"/>
        <v>2</v>
      </c>
      <c r="L10" s="2">
        <f t="shared" si="16"/>
        <v>1</v>
      </c>
      <c r="M10" s="2" t="str">
        <f t="shared" si="11"/>
        <v>PC-30</v>
      </c>
      <c r="N10" s="2">
        <f t="shared" si="17"/>
        <v>3</v>
      </c>
      <c r="O10" s="2" t="str">
        <f t="shared" si="3"/>
        <v>2001:2:2::/112</v>
      </c>
      <c r="P10" s="2" t="str">
        <f t="shared" si="4"/>
        <v>2001:2:2::4</v>
      </c>
      <c r="Q10" s="2">
        <v>112</v>
      </c>
      <c r="R10" s="2" t="str">
        <f t="shared" si="5"/>
        <v>2001:2:2::1</v>
      </c>
      <c r="T10" s="5">
        <f t="shared" si="12"/>
        <v>3</v>
      </c>
      <c r="U10" s="5">
        <f t="shared" si="18"/>
        <v>1</v>
      </c>
      <c r="V10" s="5" t="str">
        <f t="shared" si="13"/>
        <v>PC-58</v>
      </c>
      <c r="W10" s="5">
        <f t="shared" si="19"/>
        <v>3</v>
      </c>
      <c r="X10" s="5" t="str">
        <f t="shared" si="6"/>
        <v>2001:3:2::/112</v>
      </c>
      <c r="Y10" s="5" t="str">
        <f t="shared" si="7"/>
        <v>2001:3:2::4</v>
      </c>
      <c r="Z10" s="5">
        <v>112</v>
      </c>
      <c r="AA10" s="5" t="str">
        <f t="shared" si="8"/>
        <v>2001:3:2::1</v>
      </c>
    </row>
    <row r="11" spans="2:27" ht="16" x14ac:dyDescent="0.2">
      <c r="B11" s="3">
        <f t="shared" si="9"/>
        <v>1</v>
      </c>
      <c r="C11" s="3">
        <f t="shared" si="14"/>
        <v>1</v>
      </c>
      <c r="D11" s="3" t="s">
        <v>9</v>
      </c>
      <c r="E11" s="3">
        <f t="shared" si="15"/>
        <v>4</v>
      </c>
      <c r="F11" s="3" t="str">
        <f t="shared" si="0"/>
        <v>2001:1:2::/112</v>
      </c>
      <c r="G11" s="3" t="str">
        <f t="shared" si="1"/>
        <v>2001:1:2::5</v>
      </c>
      <c r="H11" s="3">
        <v>112</v>
      </c>
      <c r="I11" s="3" t="str">
        <f t="shared" si="2"/>
        <v>2001:1:2::1</v>
      </c>
      <c r="K11" s="2">
        <f t="shared" si="10"/>
        <v>2</v>
      </c>
      <c r="L11" s="2">
        <f t="shared" si="16"/>
        <v>1</v>
      </c>
      <c r="M11" s="2" t="str">
        <f t="shared" si="11"/>
        <v>PC-31</v>
      </c>
      <c r="N11" s="2">
        <f t="shared" si="17"/>
        <v>4</v>
      </c>
      <c r="O11" s="2" t="str">
        <f t="shared" si="3"/>
        <v>2001:2:2::/112</v>
      </c>
      <c r="P11" s="2" t="str">
        <f t="shared" si="4"/>
        <v>2001:2:2::5</v>
      </c>
      <c r="Q11" s="2">
        <v>112</v>
      </c>
      <c r="R11" s="2" t="str">
        <f t="shared" si="5"/>
        <v>2001:2:2::1</v>
      </c>
      <c r="T11" s="5">
        <f t="shared" si="12"/>
        <v>3</v>
      </c>
      <c r="U11" s="5">
        <f t="shared" si="18"/>
        <v>1</v>
      </c>
      <c r="V11" s="5" t="str">
        <f t="shared" si="13"/>
        <v>PC-59</v>
      </c>
      <c r="W11" s="5">
        <f t="shared" si="19"/>
        <v>4</v>
      </c>
      <c r="X11" s="5" t="str">
        <f t="shared" si="6"/>
        <v>2001:3:2::/112</v>
      </c>
      <c r="Y11" s="5" t="str">
        <f t="shared" si="7"/>
        <v>2001:3:2::5</v>
      </c>
      <c r="Z11" s="5">
        <v>112</v>
      </c>
      <c r="AA11" s="5" t="str">
        <f t="shared" si="8"/>
        <v>2001:3:2::1</v>
      </c>
    </row>
    <row r="12" spans="2:27" ht="16" x14ac:dyDescent="0.2">
      <c r="B12" s="3">
        <f t="shared" si="9"/>
        <v>1</v>
      </c>
      <c r="C12" s="3">
        <f>C8+1</f>
        <v>2</v>
      </c>
      <c r="D12" s="3" t="s">
        <v>10</v>
      </c>
      <c r="E12" s="3">
        <f t="shared" si="15"/>
        <v>1</v>
      </c>
      <c r="F12" s="3" t="str">
        <f t="shared" si="0"/>
        <v>2001:1:3::/112</v>
      </c>
      <c r="G12" s="3" t="str">
        <f t="shared" si="1"/>
        <v>2001:1:3::2</v>
      </c>
      <c r="H12" s="3">
        <v>112</v>
      </c>
      <c r="I12" s="3" t="str">
        <f t="shared" si="2"/>
        <v>2001:1:3::1</v>
      </c>
      <c r="K12" s="2">
        <f t="shared" si="10"/>
        <v>2</v>
      </c>
      <c r="L12" s="2">
        <f>L8+1</f>
        <v>2</v>
      </c>
      <c r="M12" s="2" t="str">
        <f t="shared" si="11"/>
        <v>PC-32</v>
      </c>
      <c r="N12" s="2">
        <f t="shared" si="17"/>
        <v>1</v>
      </c>
      <c r="O12" s="2" t="str">
        <f t="shared" si="3"/>
        <v>2001:2:3::/112</v>
      </c>
      <c r="P12" s="2" t="str">
        <f t="shared" si="4"/>
        <v>2001:2:3::2</v>
      </c>
      <c r="Q12" s="2">
        <v>112</v>
      </c>
      <c r="R12" s="2" t="str">
        <f t="shared" si="5"/>
        <v>2001:2:3::1</v>
      </c>
      <c r="T12" s="5">
        <f t="shared" si="12"/>
        <v>3</v>
      </c>
      <c r="U12" s="5">
        <f>U8+1</f>
        <v>2</v>
      </c>
      <c r="V12" s="5" t="str">
        <f t="shared" si="13"/>
        <v>PC-60</v>
      </c>
      <c r="W12" s="5">
        <f t="shared" si="19"/>
        <v>1</v>
      </c>
      <c r="X12" s="5" t="str">
        <f t="shared" si="6"/>
        <v>2001:3:3::/112</v>
      </c>
      <c r="Y12" s="5" t="str">
        <f t="shared" si="7"/>
        <v>2001:3:3::2</v>
      </c>
      <c r="Z12" s="5">
        <v>112</v>
      </c>
      <c r="AA12" s="5" t="str">
        <f t="shared" si="8"/>
        <v>2001:3:3::1</v>
      </c>
    </row>
    <row r="13" spans="2:27" ht="16" x14ac:dyDescent="0.2">
      <c r="B13" s="3">
        <f t="shared" si="9"/>
        <v>1</v>
      </c>
      <c r="C13" s="3">
        <f t="shared" si="14"/>
        <v>2</v>
      </c>
      <c r="D13" s="3" t="s">
        <v>11</v>
      </c>
      <c r="E13" s="3">
        <f t="shared" si="15"/>
        <v>2</v>
      </c>
      <c r="F13" s="3" t="str">
        <f t="shared" si="0"/>
        <v>2001:1:3::/112</v>
      </c>
      <c r="G13" s="3" t="str">
        <f t="shared" si="1"/>
        <v>2001:1:3::3</v>
      </c>
      <c r="H13" s="3">
        <v>112</v>
      </c>
      <c r="I13" s="3" t="str">
        <f t="shared" si="2"/>
        <v>2001:1:3::1</v>
      </c>
      <c r="K13" s="2">
        <f t="shared" si="10"/>
        <v>2</v>
      </c>
      <c r="L13" s="2">
        <f t="shared" si="16"/>
        <v>2</v>
      </c>
      <c r="M13" s="2" t="str">
        <f t="shared" si="11"/>
        <v>PC-33</v>
      </c>
      <c r="N13" s="2">
        <f t="shared" si="17"/>
        <v>2</v>
      </c>
      <c r="O13" s="2" t="str">
        <f t="shared" si="3"/>
        <v>2001:2:3::/112</v>
      </c>
      <c r="P13" s="2" t="str">
        <f t="shared" si="4"/>
        <v>2001:2:3::3</v>
      </c>
      <c r="Q13" s="2">
        <v>112</v>
      </c>
      <c r="R13" s="2" t="str">
        <f t="shared" si="5"/>
        <v>2001:2:3::1</v>
      </c>
      <c r="T13" s="5">
        <f t="shared" si="12"/>
        <v>3</v>
      </c>
      <c r="U13" s="5">
        <f t="shared" si="18"/>
        <v>2</v>
      </c>
      <c r="V13" s="5" t="str">
        <f t="shared" si="13"/>
        <v>PC-61</v>
      </c>
      <c r="W13" s="5">
        <f t="shared" si="19"/>
        <v>2</v>
      </c>
      <c r="X13" s="5" t="str">
        <f t="shared" si="6"/>
        <v>2001:3:3::/112</v>
      </c>
      <c r="Y13" s="5" t="str">
        <f t="shared" si="7"/>
        <v>2001:3:3::3</v>
      </c>
      <c r="Z13" s="5">
        <v>112</v>
      </c>
      <c r="AA13" s="5" t="str">
        <f t="shared" si="8"/>
        <v>2001:3:3::1</v>
      </c>
    </row>
    <row r="14" spans="2:27" ht="16" x14ac:dyDescent="0.2">
      <c r="B14" s="3">
        <f t="shared" si="9"/>
        <v>1</v>
      </c>
      <c r="C14" s="3">
        <f t="shared" si="14"/>
        <v>2</v>
      </c>
      <c r="D14" s="3" t="s">
        <v>12</v>
      </c>
      <c r="E14" s="3">
        <f t="shared" si="15"/>
        <v>3</v>
      </c>
      <c r="F14" s="3" t="str">
        <f t="shared" si="0"/>
        <v>2001:1:3::/112</v>
      </c>
      <c r="G14" s="3" t="str">
        <f t="shared" si="1"/>
        <v>2001:1:3::4</v>
      </c>
      <c r="H14" s="3">
        <v>112</v>
      </c>
      <c r="I14" s="3" t="str">
        <f t="shared" si="2"/>
        <v>2001:1:3::1</v>
      </c>
      <c r="K14" s="2">
        <f t="shared" si="10"/>
        <v>2</v>
      </c>
      <c r="L14" s="2">
        <f t="shared" si="16"/>
        <v>2</v>
      </c>
      <c r="M14" s="2" t="str">
        <f t="shared" si="11"/>
        <v>PC-34</v>
      </c>
      <c r="N14" s="2">
        <f t="shared" si="17"/>
        <v>3</v>
      </c>
      <c r="O14" s="2" t="str">
        <f t="shared" si="3"/>
        <v>2001:2:3::/112</v>
      </c>
      <c r="P14" s="2" t="str">
        <f t="shared" si="4"/>
        <v>2001:2:3::4</v>
      </c>
      <c r="Q14" s="2">
        <v>112</v>
      </c>
      <c r="R14" s="2" t="str">
        <f t="shared" si="5"/>
        <v>2001:2:3::1</v>
      </c>
      <c r="T14" s="5">
        <f t="shared" si="12"/>
        <v>3</v>
      </c>
      <c r="U14" s="5">
        <f t="shared" si="18"/>
        <v>2</v>
      </c>
      <c r="V14" s="5" t="str">
        <f t="shared" si="13"/>
        <v>PC-62</v>
      </c>
      <c r="W14" s="5">
        <f t="shared" si="19"/>
        <v>3</v>
      </c>
      <c r="X14" s="5" t="str">
        <f t="shared" si="6"/>
        <v>2001:3:3::/112</v>
      </c>
      <c r="Y14" s="5" t="str">
        <f t="shared" si="7"/>
        <v>2001:3:3::4</v>
      </c>
      <c r="Z14" s="5">
        <v>112</v>
      </c>
      <c r="AA14" s="5" t="str">
        <f t="shared" si="8"/>
        <v>2001:3:3::1</v>
      </c>
    </row>
    <row r="15" spans="2:27" ht="16" x14ac:dyDescent="0.2">
      <c r="B15" s="3">
        <f t="shared" si="9"/>
        <v>1</v>
      </c>
      <c r="C15" s="3">
        <f t="shared" si="14"/>
        <v>2</v>
      </c>
      <c r="D15" s="3" t="s">
        <v>13</v>
      </c>
      <c r="E15" s="3">
        <f t="shared" si="15"/>
        <v>4</v>
      </c>
      <c r="F15" s="3" t="str">
        <f t="shared" si="0"/>
        <v>2001:1:3::/112</v>
      </c>
      <c r="G15" s="3" t="str">
        <f t="shared" si="1"/>
        <v>2001:1:3::5</v>
      </c>
      <c r="H15" s="3">
        <v>112</v>
      </c>
      <c r="I15" s="3" t="str">
        <f t="shared" si="2"/>
        <v>2001:1:3::1</v>
      </c>
      <c r="K15" s="2">
        <f t="shared" si="10"/>
        <v>2</v>
      </c>
      <c r="L15" s="2">
        <f t="shared" si="16"/>
        <v>2</v>
      </c>
      <c r="M15" s="2" t="str">
        <f t="shared" si="11"/>
        <v>PC-35</v>
      </c>
      <c r="N15" s="2">
        <f t="shared" si="17"/>
        <v>4</v>
      </c>
      <c r="O15" s="2" t="str">
        <f t="shared" si="3"/>
        <v>2001:2:3::/112</v>
      </c>
      <c r="P15" s="2" t="str">
        <f t="shared" si="4"/>
        <v>2001:2:3::5</v>
      </c>
      <c r="Q15" s="2">
        <v>112</v>
      </c>
      <c r="R15" s="2" t="str">
        <f t="shared" si="5"/>
        <v>2001:2:3::1</v>
      </c>
      <c r="T15" s="5">
        <f t="shared" si="12"/>
        <v>3</v>
      </c>
      <c r="U15" s="5">
        <f t="shared" si="18"/>
        <v>2</v>
      </c>
      <c r="V15" s="5" t="str">
        <f t="shared" si="13"/>
        <v>PC-63</v>
      </c>
      <c r="W15" s="5">
        <f t="shared" si="19"/>
        <v>4</v>
      </c>
      <c r="X15" s="5" t="str">
        <f t="shared" si="6"/>
        <v>2001:3:3::/112</v>
      </c>
      <c r="Y15" s="5" t="str">
        <f t="shared" si="7"/>
        <v>2001:3:3::5</v>
      </c>
      <c r="Z15" s="5">
        <v>112</v>
      </c>
      <c r="AA15" s="5" t="str">
        <f t="shared" si="8"/>
        <v>2001:3:3::1</v>
      </c>
    </row>
    <row r="16" spans="2:27" ht="16" x14ac:dyDescent="0.2">
      <c r="B16" s="3">
        <f t="shared" si="9"/>
        <v>1</v>
      </c>
      <c r="C16" s="3">
        <f>C12+1</f>
        <v>3</v>
      </c>
      <c r="D16" s="3" t="s">
        <v>14</v>
      </c>
      <c r="E16" s="3">
        <f t="shared" si="15"/>
        <v>1</v>
      </c>
      <c r="F16" s="3" t="str">
        <f t="shared" si="0"/>
        <v>2001:1:4::/112</v>
      </c>
      <c r="G16" s="3" t="str">
        <f t="shared" si="1"/>
        <v>2001:1:4::2</v>
      </c>
      <c r="H16" s="3">
        <v>112</v>
      </c>
      <c r="I16" s="3" t="str">
        <f t="shared" si="2"/>
        <v>2001:1:4::1</v>
      </c>
      <c r="K16" s="2">
        <f t="shared" si="10"/>
        <v>2</v>
      </c>
      <c r="L16" s="2">
        <f>L12+1</f>
        <v>3</v>
      </c>
      <c r="M16" s="2" t="str">
        <f t="shared" si="11"/>
        <v>PC-36</v>
      </c>
      <c r="N16" s="2">
        <f t="shared" si="17"/>
        <v>1</v>
      </c>
      <c r="O16" s="2" t="str">
        <f t="shared" si="3"/>
        <v>2001:2:4::/112</v>
      </c>
      <c r="P16" s="2" t="str">
        <f t="shared" si="4"/>
        <v>2001:2:4::2</v>
      </c>
      <c r="Q16" s="2">
        <v>112</v>
      </c>
      <c r="R16" s="2" t="str">
        <f t="shared" si="5"/>
        <v>2001:2:4::1</v>
      </c>
      <c r="T16" s="5">
        <f t="shared" si="12"/>
        <v>3</v>
      </c>
      <c r="U16" s="5">
        <f>U12+1</f>
        <v>3</v>
      </c>
      <c r="V16" s="5" t="str">
        <f t="shared" si="13"/>
        <v>PC-64</v>
      </c>
      <c r="W16" s="5">
        <f t="shared" si="19"/>
        <v>1</v>
      </c>
      <c r="X16" s="5" t="str">
        <f t="shared" si="6"/>
        <v>2001:3:4::/112</v>
      </c>
      <c r="Y16" s="5" t="str">
        <f t="shared" si="7"/>
        <v>2001:3:4::2</v>
      </c>
      <c r="Z16" s="5">
        <v>112</v>
      </c>
      <c r="AA16" s="5" t="str">
        <f t="shared" si="8"/>
        <v>2001:3:4::1</v>
      </c>
    </row>
    <row r="17" spans="2:27" ht="16" x14ac:dyDescent="0.2">
      <c r="B17" s="3">
        <f t="shared" si="9"/>
        <v>1</v>
      </c>
      <c r="C17" s="3">
        <f t="shared" si="14"/>
        <v>3</v>
      </c>
      <c r="D17" s="3" t="s">
        <v>15</v>
      </c>
      <c r="E17" s="3">
        <f t="shared" si="15"/>
        <v>2</v>
      </c>
      <c r="F17" s="3" t="str">
        <f t="shared" si="0"/>
        <v>2001:1:4::/112</v>
      </c>
      <c r="G17" s="3" t="str">
        <f t="shared" si="1"/>
        <v>2001:1:4::3</v>
      </c>
      <c r="H17" s="3">
        <v>112</v>
      </c>
      <c r="I17" s="3" t="str">
        <f t="shared" si="2"/>
        <v>2001:1:4::1</v>
      </c>
      <c r="K17" s="2">
        <f t="shared" si="10"/>
        <v>2</v>
      </c>
      <c r="L17" s="2">
        <f t="shared" si="16"/>
        <v>3</v>
      </c>
      <c r="M17" s="2" t="str">
        <f t="shared" si="11"/>
        <v>PC-37</v>
      </c>
      <c r="N17" s="2">
        <f t="shared" si="17"/>
        <v>2</v>
      </c>
      <c r="O17" s="2" t="str">
        <f t="shared" si="3"/>
        <v>2001:2:4::/112</v>
      </c>
      <c r="P17" s="2" t="str">
        <f t="shared" si="4"/>
        <v>2001:2:4::3</v>
      </c>
      <c r="Q17" s="2">
        <v>112</v>
      </c>
      <c r="R17" s="2" t="str">
        <f t="shared" si="5"/>
        <v>2001:2:4::1</v>
      </c>
      <c r="T17" s="5">
        <f t="shared" si="12"/>
        <v>3</v>
      </c>
      <c r="U17" s="5">
        <f t="shared" si="18"/>
        <v>3</v>
      </c>
      <c r="V17" s="5" t="str">
        <f t="shared" si="13"/>
        <v>PC-65</v>
      </c>
      <c r="W17" s="5">
        <f t="shared" si="19"/>
        <v>2</v>
      </c>
      <c r="X17" s="5" t="str">
        <f t="shared" si="6"/>
        <v>2001:3:4::/112</v>
      </c>
      <c r="Y17" s="5" t="str">
        <f t="shared" si="7"/>
        <v>2001:3:4::3</v>
      </c>
      <c r="Z17" s="5">
        <v>112</v>
      </c>
      <c r="AA17" s="5" t="str">
        <f t="shared" si="8"/>
        <v>2001:3:4::1</v>
      </c>
    </row>
    <row r="18" spans="2:27" ht="16" x14ac:dyDescent="0.2">
      <c r="B18" s="3">
        <f t="shared" si="9"/>
        <v>1</v>
      </c>
      <c r="C18" s="3">
        <f t="shared" si="14"/>
        <v>3</v>
      </c>
      <c r="D18" s="3" t="s">
        <v>16</v>
      </c>
      <c r="E18" s="3">
        <f t="shared" si="15"/>
        <v>3</v>
      </c>
      <c r="F18" s="3" t="str">
        <f t="shared" si="0"/>
        <v>2001:1:4::/112</v>
      </c>
      <c r="G18" s="3" t="str">
        <f t="shared" si="1"/>
        <v>2001:1:4::4</v>
      </c>
      <c r="H18" s="3">
        <v>112</v>
      </c>
      <c r="I18" s="3" t="str">
        <f t="shared" si="2"/>
        <v>2001:1:4::1</v>
      </c>
      <c r="K18" s="2">
        <f t="shared" si="10"/>
        <v>2</v>
      </c>
      <c r="L18" s="2">
        <f t="shared" si="16"/>
        <v>3</v>
      </c>
      <c r="M18" s="2" t="str">
        <f t="shared" si="11"/>
        <v>PC-38</v>
      </c>
      <c r="N18" s="2">
        <f t="shared" si="17"/>
        <v>3</v>
      </c>
      <c r="O18" s="2" t="str">
        <f t="shared" si="3"/>
        <v>2001:2:4::/112</v>
      </c>
      <c r="P18" s="2" t="str">
        <f t="shared" si="4"/>
        <v>2001:2:4::4</v>
      </c>
      <c r="Q18" s="2">
        <v>112</v>
      </c>
      <c r="R18" s="2" t="str">
        <f t="shared" si="5"/>
        <v>2001:2:4::1</v>
      </c>
      <c r="T18" s="5">
        <f t="shared" si="12"/>
        <v>3</v>
      </c>
      <c r="U18" s="5">
        <f t="shared" si="18"/>
        <v>3</v>
      </c>
      <c r="V18" s="5" t="str">
        <f t="shared" si="13"/>
        <v>PC-66</v>
      </c>
      <c r="W18" s="5">
        <f t="shared" si="19"/>
        <v>3</v>
      </c>
      <c r="X18" s="5" t="str">
        <f t="shared" si="6"/>
        <v>2001:3:4::/112</v>
      </c>
      <c r="Y18" s="5" t="str">
        <f t="shared" si="7"/>
        <v>2001:3:4::4</v>
      </c>
      <c r="Z18" s="5">
        <v>112</v>
      </c>
      <c r="AA18" s="5" t="str">
        <f t="shared" si="8"/>
        <v>2001:3:4::1</v>
      </c>
    </row>
    <row r="19" spans="2:27" ht="16" x14ac:dyDescent="0.2">
      <c r="B19" s="3">
        <f t="shared" si="9"/>
        <v>1</v>
      </c>
      <c r="C19" s="3">
        <f t="shared" si="14"/>
        <v>3</v>
      </c>
      <c r="D19" s="3" t="s">
        <v>17</v>
      </c>
      <c r="E19" s="3">
        <f t="shared" si="15"/>
        <v>4</v>
      </c>
      <c r="F19" s="3" t="str">
        <f t="shared" si="0"/>
        <v>2001:1:4::/112</v>
      </c>
      <c r="G19" s="3" t="str">
        <f t="shared" si="1"/>
        <v>2001:1:4::5</v>
      </c>
      <c r="H19" s="3">
        <v>112</v>
      </c>
      <c r="I19" s="3" t="str">
        <f t="shared" si="2"/>
        <v>2001:1:4::1</v>
      </c>
      <c r="K19" s="2">
        <f t="shared" si="10"/>
        <v>2</v>
      </c>
      <c r="L19" s="2">
        <f t="shared" si="16"/>
        <v>3</v>
      </c>
      <c r="M19" s="2" t="str">
        <f t="shared" si="11"/>
        <v>PC-39</v>
      </c>
      <c r="N19" s="2">
        <f t="shared" si="17"/>
        <v>4</v>
      </c>
      <c r="O19" s="2" t="str">
        <f t="shared" si="3"/>
        <v>2001:2:4::/112</v>
      </c>
      <c r="P19" s="2" t="str">
        <f t="shared" si="4"/>
        <v>2001:2:4::5</v>
      </c>
      <c r="Q19" s="2">
        <v>112</v>
      </c>
      <c r="R19" s="2" t="str">
        <f t="shared" si="5"/>
        <v>2001:2:4::1</v>
      </c>
      <c r="T19" s="5">
        <f t="shared" si="12"/>
        <v>3</v>
      </c>
      <c r="U19" s="5">
        <f t="shared" si="18"/>
        <v>3</v>
      </c>
      <c r="V19" s="5" t="str">
        <f t="shared" si="13"/>
        <v>PC-67</v>
      </c>
      <c r="W19" s="5">
        <f t="shared" si="19"/>
        <v>4</v>
      </c>
      <c r="X19" s="5" t="str">
        <f t="shared" si="6"/>
        <v>2001:3:4::/112</v>
      </c>
      <c r="Y19" s="5" t="str">
        <f t="shared" si="7"/>
        <v>2001:3:4::5</v>
      </c>
      <c r="Z19" s="5">
        <v>112</v>
      </c>
      <c r="AA19" s="5" t="str">
        <f t="shared" si="8"/>
        <v>2001:3:4::1</v>
      </c>
    </row>
    <row r="20" spans="2:27" ht="16" x14ac:dyDescent="0.2">
      <c r="B20" s="3">
        <f t="shared" si="9"/>
        <v>1</v>
      </c>
      <c r="C20" s="3">
        <f>C16+1</f>
        <v>4</v>
      </c>
      <c r="D20" s="3" t="s">
        <v>18</v>
      </c>
      <c r="E20" s="3">
        <f t="shared" si="15"/>
        <v>1</v>
      </c>
      <c r="F20" s="3" t="str">
        <f t="shared" si="0"/>
        <v>2001:1:5::/112</v>
      </c>
      <c r="G20" s="3" t="str">
        <f t="shared" si="1"/>
        <v>2001:1:5::2</v>
      </c>
      <c r="H20" s="3">
        <v>112</v>
      </c>
      <c r="I20" s="3" t="str">
        <f t="shared" si="2"/>
        <v>2001:1:5::1</v>
      </c>
      <c r="K20" s="2">
        <f t="shared" si="10"/>
        <v>2</v>
      </c>
      <c r="L20" s="2">
        <f>L16+1</f>
        <v>4</v>
      </c>
      <c r="M20" s="2" t="str">
        <f t="shared" si="11"/>
        <v>PC-40</v>
      </c>
      <c r="N20" s="2">
        <f t="shared" si="17"/>
        <v>1</v>
      </c>
      <c r="O20" s="2" t="str">
        <f t="shared" si="3"/>
        <v>2001:2:5::/112</v>
      </c>
      <c r="P20" s="2" t="str">
        <f t="shared" si="4"/>
        <v>2001:2:5::2</v>
      </c>
      <c r="Q20" s="2">
        <v>112</v>
      </c>
      <c r="R20" s="2" t="str">
        <f t="shared" si="5"/>
        <v>2001:2:5::1</v>
      </c>
      <c r="T20" s="5">
        <f t="shared" si="12"/>
        <v>3</v>
      </c>
      <c r="U20" s="5">
        <f>U16+1</f>
        <v>4</v>
      </c>
      <c r="V20" s="5" t="str">
        <f t="shared" si="13"/>
        <v>PC-68</v>
      </c>
      <c r="W20" s="5">
        <f t="shared" si="19"/>
        <v>1</v>
      </c>
      <c r="X20" s="5" t="str">
        <f t="shared" si="6"/>
        <v>2001:3:5::/112</v>
      </c>
      <c r="Y20" s="5" t="str">
        <f t="shared" si="7"/>
        <v>2001:3:5::2</v>
      </c>
      <c r="Z20" s="5">
        <v>112</v>
      </c>
      <c r="AA20" s="5" t="str">
        <f t="shared" si="8"/>
        <v>2001:3:5::1</v>
      </c>
    </row>
    <row r="21" spans="2:27" ht="16" x14ac:dyDescent="0.2">
      <c r="B21" s="3">
        <f t="shared" si="9"/>
        <v>1</v>
      </c>
      <c r="C21" s="3">
        <f t="shared" si="14"/>
        <v>4</v>
      </c>
      <c r="D21" s="3" t="s">
        <v>19</v>
      </c>
      <c r="E21" s="3">
        <f t="shared" si="15"/>
        <v>2</v>
      </c>
      <c r="F21" s="3" t="str">
        <f t="shared" si="0"/>
        <v>2001:1:5::/112</v>
      </c>
      <c r="G21" s="3" t="str">
        <f t="shared" si="1"/>
        <v>2001:1:5::3</v>
      </c>
      <c r="H21" s="3">
        <v>112</v>
      </c>
      <c r="I21" s="3" t="str">
        <f t="shared" si="2"/>
        <v>2001:1:5::1</v>
      </c>
      <c r="K21" s="2">
        <f t="shared" si="10"/>
        <v>2</v>
      </c>
      <c r="L21" s="2">
        <f t="shared" si="16"/>
        <v>4</v>
      </c>
      <c r="M21" s="2" t="str">
        <f t="shared" si="11"/>
        <v>PC-41</v>
      </c>
      <c r="N21" s="2">
        <f t="shared" si="17"/>
        <v>2</v>
      </c>
      <c r="O21" s="2" t="str">
        <f t="shared" si="3"/>
        <v>2001:2:5::/112</v>
      </c>
      <c r="P21" s="2" t="str">
        <f t="shared" si="4"/>
        <v>2001:2:5::3</v>
      </c>
      <c r="Q21" s="2">
        <v>112</v>
      </c>
      <c r="R21" s="2" t="str">
        <f t="shared" si="5"/>
        <v>2001:2:5::1</v>
      </c>
      <c r="T21" s="5">
        <f t="shared" si="12"/>
        <v>3</v>
      </c>
      <c r="U21" s="5">
        <f t="shared" si="18"/>
        <v>4</v>
      </c>
      <c r="V21" s="5" t="str">
        <f t="shared" si="13"/>
        <v>PC-69</v>
      </c>
      <c r="W21" s="5">
        <f t="shared" si="19"/>
        <v>2</v>
      </c>
      <c r="X21" s="5" t="str">
        <f t="shared" si="6"/>
        <v>2001:3:5::/112</v>
      </c>
      <c r="Y21" s="5" t="str">
        <f t="shared" si="7"/>
        <v>2001:3:5::3</v>
      </c>
      <c r="Z21" s="5">
        <v>112</v>
      </c>
      <c r="AA21" s="5" t="str">
        <f t="shared" si="8"/>
        <v>2001:3:5::1</v>
      </c>
    </row>
    <row r="22" spans="2:27" ht="16" x14ac:dyDescent="0.2">
      <c r="B22" s="3">
        <f t="shared" si="9"/>
        <v>1</v>
      </c>
      <c r="C22" s="3">
        <f t="shared" si="14"/>
        <v>4</v>
      </c>
      <c r="D22" s="3" t="s">
        <v>20</v>
      </c>
      <c r="E22" s="3">
        <f t="shared" si="15"/>
        <v>3</v>
      </c>
      <c r="F22" s="3" t="str">
        <f t="shared" si="0"/>
        <v>2001:1:5::/112</v>
      </c>
      <c r="G22" s="3" t="str">
        <f t="shared" si="1"/>
        <v>2001:1:5::4</v>
      </c>
      <c r="H22" s="3">
        <v>112</v>
      </c>
      <c r="I22" s="3" t="str">
        <f t="shared" si="2"/>
        <v>2001:1:5::1</v>
      </c>
      <c r="K22" s="2">
        <f t="shared" si="10"/>
        <v>2</v>
      </c>
      <c r="L22" s="2">
        <f t="shared" si="16"/>
        <v>4</v>
      </c>
      <c r="M22" s="2" t="str">
        <f t="shared" si="11"/>
        <v>PC-42</v>
      </c>
      <c r="N22" s="2">
        <f t="shared" si="17"/>
        <v>3</v>
      </c>
      <c r="O22" s="2" t="str">
        <f t="shared" si="3"/>
        <v>2001:2:5::/112</v>
      </c>
      <c r="P22" s="2" t="str">
        <f t="shared" si="4"/>
        <v>2001:2:5::4</v>
      </c>
      <c r="Q22" s="2">
        <v>112</v>
      </c>
      <c r="R22" s="2" t="str">
        <f t="shared" si="5"/>
        <v>2001:2:5::1</v>
      </c>
      <c r="T22" s="5">
        <f t="shared" si="12"/>
        <v>3</v>
      </c>
      <c r="U22" s="5">
        <f t="shared" si="18"/>
        <v>4</v>
      </c>
      <c r="V22" s="5" t="str">
        <f t="shared" si="13"/>
        <v>PC-70</v>
      </c>
      <c r="W22" s="5">
        <f t="shared" si="19"/>
        <v>3</v>
      </c>
      <c r="X22" s="5" t="str">
        <f t="shared" si="6"/>
        <v>2001:3:5::/112</v>
      </c>
      <c r="Y22" s="5" t="str">
        <f t="shared" si="7"/>
        <v>2001:3:5::4</v>
      </c>
      <c r="Z22" s="5">
        <v>112</v>
      </c>
      <c r="AA22" s="5" t="str">
        <f t="shared" si="8"/>
        <v>2001:3:5::1</v>
      </c>
    </row>
    <row r="23" spans="2:27" ht="16" x14ac:dyDescent="0.2">
      <c r="B23" s="3">
        <f t="shared" si="9"/>
        <v>1</v>
      </c>
      <c r="C23" s="3">
        <f>C19+1</f>
        <v>4</v>
      </c>
      <c r="D23" s="3" t="s">
        <v>21</v>
      </c>
      <c r="E23" s="3">
        <f t="shared" si="15"/>
        <v>4</v>
      </c>
      <c r="F23" s="3" t="str">
        <f t="shared" si="0"/>
        <v>2001:1:5::/112</v>
      </c>
      <c r="G23" s="3" t="str">
        <f t="shared" si="1"/>
        <v>2001:1:5::5</v>
      </c>
      <c r="H23" s="3">
        <v>112</v>
      </c>
      <c r="I23" s="3" t="str">
        <f t="shared" si="2"/>
        <v>2001:1:5::1</v>
      </c>
      <c r="K23" s="2">
        <f t="shared" si="10"/>
        <v>2</v>
      </c>
      <c r="L23" s="2">
        <f>L19+1</f>
        <v>4</v>
      </c>
      <c r="M23" s="2" t="str">
        <f t="shared" si="11"/>
        <v>PC-43</v>
      </c>
      <c r="N23" s="2">
        <f t="shared" si="17"/>
        <v>4</v>
      </c>
      <c r="O23" s="2" t="str">
        <f t="shared" si="3"/>
        <v>2001:2:5::/112</v>
      </c>
      <c r="P23" s="2" t="str">
        <f t="shared" si="4"/>
        <v>2001:2:5::5</v>
      </c>
      <c r="Q23" s="2">
        <v>112</v>
      </c>
      <c r="R23" s="2" t="str">
        <f t="shared" si="5"/>
        <v>2001:2:5::1</v>
      </c>
      <c r="T23" s="5">
        <f t="shared" si="12"/>
        <v>3</v>
      </c>
      <c r="U23" s="5">
        <f>U19+1</f>
        <v>4</v>
      </c>
      <c r="V23" s="5" t="str">
        <f t="shared" si="13"/>
        <v>PC-71</v>
      </c>
      <c r="W23" s="5">
        <f t="shared" si="19"/>
        <v>4</v>
      </c>
      <c r="X23" s="5" t="str">
        <f t="shared" si="6"/>
        <v>2001:3:5::/112</v>
      </c>
      <c r="Y23" s="5" t="str">
        <f t="shared" si="7"/>
        <v>2001:3:5::5</v>
      </c>
      <c r="Z23" s="5">
        <v>112</v>
      </c>
      <c r="AA23" s="5" t="str">
        <f t="shared" si="8"/>
        <v>2001:3:5::1</v>
      </c>
    </row>
    <row r="24" spans="2:27" ht="16" x14ac:dyDescent="0.2">
      <c r="B24" s="5">
        <f t="shared" si="9"/>
        <v>1</v>
      </c>
      <c r="C24" s="5">
        <f t="shared" si="14"/>
        <v>5</v>
      </c>
      <c r="D24" s="5" t="s">
        <v>22</v>
      </c>
      <c r="E24" s="5">
        <f t="shared" si="15"/>
        <v>1</v>
      </c>
      <c r="F24" s="5" t="str">
        <f t="shared" si="0"/>
        <v>2001:1:6::/112</v>
      </c>
      <c r="G24" s="5" t="str">
        <f t="shared" si="1"/>
        <v>2001:1:6::2</v>
      </c>
      <c r="H24" s="5">
        <v>112</v>
      </c>
      <c r="I24" s="5" t="str">
        <f t="shared" si="2"/>
        <v>2001:1:6::1</v>
      </c>
      <c r="K24" s="2">
        <f t="shared" si="10"/>
        <v>2</v>
      </c>
      <c r="L24" s="2">
        <f t="shared" si="16"/>
        <v>5</v>
      </c>
      <c r="M24" s="2" t="str">
        <f t="shared" si="11"/>
        <v>PC-44</v>
      </c>
      <c r="N24" s="2">
        <f t="shared" si="17"/>
        <v>1</v>
      </c>
      <c r="O24" s="2" t="str">
        <f t="shared" si="3"/>
        <v>2001:2:6::/112</v>
      </c>
      <c r="P24" s="2" t="str">
        <f t="shared" si="4"/>
        <v>2001:2:6::2</v>
      </c>
      <c r="Q24" s="2">
        <v>112</v>
      </c>
      <c r="R24" s="2" t="str">
        <f t="shared" si="5"/>
        <v>2001:2:6::1</v>
      </c>
      <c r="T24" s="5">
        <f t="shared" si="12"/>
        <v>3</v>
      </c>
      <c r="U24" s="5">
        <f t="shared" si="18"/>
        <v>5</v>
      </c>
      <c r="V24" s="5" t="str">
        <f t="shared" si="13"/>
        <v>PC-72</v>
      </c>
      <c r="W24" s="5">
        <f t="shared" si="19"/>
        <v>1</v>
      </c>
      <c r="X24" s="5" t="str">
        <f t="shared" si="6"/>
        <v>2001:3:6::/112</v>
      </c>
      <c r="Y24" s="5" t="str">
        <f t="shared" si="7"/>
        <v>2001:3:6::2</v>
      </c>
      <c r="Z24" s="5">
        <v>112</v>
      </c>
      <c r="AA24" s="5" t="str">
        <f t="shared" si="8"/>
        <v>2001:3:6::1</v>
      </c>
    </row>
    <row r="25" spans="2:27" ht="16" x14ac:dyDescent="0.2">
      <c r="B25" s="5">
        <f t="shared" si="9"/>
        <v>1</v>
      </c>
      <c r="C25" s="5">
        <f t="shared" si="14"/>
        <v>5</v>
      </c>
      <c r="D25" s="5" t="s">
        <v>23</v>
      </c>
      <c r="E25" s="5">
        <f t="shared" si="15"/>
        <v>2</v>
      </c>
      <c r="F25" s="5" t="str">
        <f t="shared" si="0"/>
        <v>2001:1:6::/112</v>
      </c>
      <c r="G25" s="5" t="str">
        <f t="shared" si="1"/>
        <v>2001:1:6::3</v>
      </c>
      <c r="H25" s="5">
        <v>112</v>
      </c>
      <c r="I25" s="5" t="str">
        <f t="shared" si="2"/>
        <v>2001:1:6::1</v>
      </c>
      <c r="K25" s="2">
        <f t="shared" si="10"/>
        <v>2</v>
      </c>
      <c r="L25" s="2">
        <f t="shared" si="16"/>
        <v>5</v>
      </c>
      <c r="M25" s="2" t="str">
        <f t="shared" si="11"/>
        <v>PC-45</v>
      </c>
      <c r="N25" s="2">
        <f t="shared" si="17"/>
        <v>2</v>
      </c>
      <c r="O25" s="2" t="str">
        <f t="shared" si="3"/>
        <v>2001:2:6::/112</v>
      </c>
      <c r="P25" s="2" t="str">
        <f t="shared" si="4"/>
        <v>2001:2:6::3</v>
      </c>
      <c r="Q25" s="2">
        <v>112</v>
      </c>
      <c r="R25" s="2" t="str">
        <f t="shared" si="5"/>
        <v>2001:2:6::1</v>
      </c>
      <c r="T25" s="5">
        <f t="shared" si="12"/>
        <v>3</v>
      </c>
      <c r="U25" s="5">
        <f t="shared" si="18"/>
        <v>5</v>
      </c>
      <c r="V25" s="5" t="str">
        <f t="shared" si="13"/>
        <v>PC-73</v>
      </c>
      <c r="W25" s="5">
        <f t="shared" si="19"/>
        <v>2</v>
      </c>
      <c r="X25" s="5" t="str">
        <f t="shared" si="6"/>
        <v>2001:3:6::/112</v>
      </c>
      <c r="Y25" s="5" t="str">
        <f t="shared" si="7"/>
        <v>2001:3:6::3</v>
      </c>
      <c r="Z25" s="5">
        <v>112</v>
      </c>
      <c r="AA25" s="5" t="str">
        <f t="shared" si="8"/>
        <v>2001:3:6::1</v>
      </c>
    </row>
    <row r="26" spans="2:27" ht="16" x14ac:dyDescent="0.2">
      <c r="B26" s="5">
        <f t="shared" si="9"/>
        <v>1</v>
      </c>
      <c r="C26" s="5">
        <f>C22+1</f>
        <v>5</v>
      </c>
      <c r="D26" s="5" t="s">
        <v>24</v>
      </c>
      <c r="E26" s="5">
        <f t="shared" si="15"/>
        <v>3</v>
      </c>
      <c r="F26" s="5" t="str">
        <f t="shared" si="0"/>
        <v>2001:1:6::/112</v>
      </c>
      <c r="G26" s="5" t="str">
        <f t="shared" si="1"/>
        <v>2001:1:6::4</v>
      </c>
      <c r="H26" s="5">
        <v>112</v>
      </c>
      <c r="I26" s="5" t="str">
        <f t="shared" si="2"/>
        <v>2001:1:6::1</v>
      </c>
      <c r="K26" s="2">
        <f t="shared" si="10"/>
        <v>2</v>
      </c>
      <c r="L26" s="2">
        <f>L22+1</f>
        <v>5</v>
      </c>
      <c r="M26" s="2" t="str">
        <f t="shared" si="11"/>
        <v>PC-46</v>
      </c>
      <c r="N26" s="2">
        <f t="shared" si="17"/>
        <v>3</v>
      </c>
      <c r="O26" s="2" t="str">
        <f t="shared" si="3"/>
        <v>2001:2:6::/112</v>
      </c>
      <c r="P26" s="2" t="str">
        <f t="shared" si="4"/>
        <v>2001:2:6::4</v>
      </c>
      <c r="Q26" s="2">
        <v>112</v>
      </c>
      <c r="R26" s="2" t="str">
        <f t="shared" si="5"/>
        <v>2001:2:6::1</v>
      </c>
      <c r="T26" s="5">
        <f t="shared" si="12"/>
        <v>3</v>
      </c>
      <c r="U26" s="5">
        <f>U22+1</f>
        <v>5</v>
      </c>
      <c r="V26" s="5" t="str">
        <f t="shared" si="13"/>
        <v>PC-74</v>
      </c>
      <c r="W26" s="5">
        <f t="shared" si="19"/>
        <v>3</v>
      </c>
      <c r="X26" s="5" t="str">
        <f t="shared" si="6"/>
        <v>2001:3:6::/112</v>
      </c>
      <c r="Y26" s="5" t="str">
        <f t="shared" si="7"/>
        <v>2001:3:6::4</v>
      </c>
      <c r="Z26" s="5">
        <v>112</v>
      </c>
      <c r="AA26" s="5" t="str">
        <f t="shared" si="8"/>
        <v>2001:3:6::1</v>
      </c>
    </row>
    <row r="27" spans="2:27" ht="16" x14ac:dyDescent="0.2">
      <c r="B27" s="5">
        <f t="shared" si="9"/>
        <v>1</v>
      </c>
      <c r="C27" s="5">
        <f t="shared" si="14"/>
        <v>5</v>
      </c>
      <c r="D27" s="5" t="s">
        <v>25</v>
      </c>
      <c r="E27" s="5">
        <f t="shared" si="15"/>
        <v>4</v>
      </c>
      <c r="F27" s="5" t="str">
        <f t="shared" si="0"/>
        <v>2001:1:6::/112</v>
      </c>
      <c r="G27" s="5" t="str">
        <f t="shared" si="1"/>
        <v>2001:1:6::5</v>
      </c>
      <c r="H27" s="5">
        <v>112</v>
      </c>
      <c r="I27" s="5" t="str">
        <f t="shared" si="2"/>
        <v>2001:1:6::1</v>
      </c>
      <c r="K27" s="2">
        <f t="shared" si="10"/>
        <v>2</v>
      </c>
      <c r="L27" s="2">
        <f t="shared" si="16"/>
        <v>5</v>
      </c>
      <c r="M27" s="2" t="str">
        <f t="shared" si="11"/>
        <v>PC-47</v>
      </c>
      <c r="N27" s="2">
        <f t="shared" si="17"/>
        <v>4</v>
      </c>
      <c r="O27" s="2" t="str">
        <f t="shared" si="3"/>
        <v>2001:2:6::/112</v>
      </c>
      <c r="P27" s="2" t="str">
        <f t="shared" si="4"/>
        <v>2001:2:6::5</v>
      </c>
      <c r="Q27" s="2">
        <v>112</v>
      </c>
      <c r="R27" s="2" t="str">
        <f t="shared" si="5"/>
        <v>2001:2:6::1</v>
      </c>
      <c r="T27" s="5">
        <f t="shared" si="12"/>
        <v>3</v>
      </c>
      <c r="U27" s="5">
        <f t="shared" si="18"/>
        <v>5</v>
      </c>
      <c r="V27" s="5" t="str">
        <f t="shared" si="13"/>
        <v>PC-75</v>
      </c>
      <c r="W27" s="5">
        <f t="shared" si="19"/>
        <v>4</v>
      </c>
      <c r="X27" s="5" t="str">
        <f t="shared" si="6"/>
        <v>2001:3:6::/112</v>
      </c>
      <c r="Y27" s="5" t="str">
        <f t="shared" si="7"/>
        <v>2001:3:6::5</v>
      </c>
      <c r="Z27" s="5">
        <v>112</v>
      </c>
      <c r="AA27" s="5" t="str">
        <f t="shared" si="8"/>
        <v>2001:3:6::1</v>
      </c>
    </row>
    <row r="28" spans="2:27" ht="16" x14ac:dyDescent="0.2">
      <c r="K28" s="2">
        <f>K27</f>
        <v>2</v>
      </c>
      <c r="L28" s="2">
        <f t="shared" si="16"/>
        <v>6</v>
      </c>
      <c r="M28" s="2" t="str">
        <f t="shared" si="11"/>
        <v>PC-48</v>
      </c>
      <c r="N28" s="2">
        <f t="shared" si="17"/>
        <v>1</v>
      </c>
      <c r="O28" s="2" t="str">
        <f t="shared" si="3"/>
        <v>2001:2:7::/112</v>
      </c>
      <c r="P28" s="2" t="str">
        <f t="shared" si="4"/>
        <v>2001:2:7::2</v>
      </c>
      <c r="Q28" s="2">
        <v>112</v>
      </c>
      <c r="R28" s="2" t="str">
        <f t="shared" si="5"/>
        <v>2001:2:7::1</v>
      </c>
      <c r="T28" s="5">
        <f>T27</f>
        <v>3</v>
      </c>
      <c r="U28" s="5">
        <f t="shared" si="18"/>
        <v>6</v>
      </c>
      <c r="V28" s="5" t="str">
        <f t="shared" si="13"/>
        <v>PC-76</v>
      </c>
      <c r="W28" s="5">
        <f t="shared" si="19"/>
        <v>1</v>
      </c>
      <c r="X28" s="5" t="str">
        <f t="shared" si="6"/>
        <v>2001:3:7::/112</v>
      </c>
      <c r="Y28" s="5" t="str">
        <f t="shared" si="7"/>
        <v>2001:3:7::2</v>
      </c>
      <c r="Z28" s="5">
        <v>112</v>
      </c>
      <c r="AA28" s="5" t="str">
        <f t="shared" si="8"/>
        <v>2001:3:7::1</v>
      </c>
    </row>
    <row r="29" spans="2:27" ht="16" x14ac:dyDescent="0.2">
      <c r="K29" s="2">
        <f t="shared" si="10"/>
        <v>2</v>
      </c>
      <c r="L29" s="2">
        <f t="shared" si="16"/>
        <v>6</v>
      </c>
      <c r="M29" s="2" t="str">
        <f t="shared" si="11"/>
        <v>PC-49</v>
      </c>
      <c r="N29" s="2">
        <f t="shared" si="17"/>
        <v>2</v>
      </c>
      <c r="O29" s="2" t="str">
        <f t="shared" si="3"/>
        <v>2001:2:7::/112</v>
      </c>
      <c r="P29" s="2" t="str">
        <f t="shared" si="4"/>
        <v>2001:2:7::3</v>
      </c>
      <c r="Q29" s="2">
        <v>112</v>
      </c>
      <c r="R29" s="2" t="str">
        <f t="shared" si="5"/>
        <v>2001:2:7::1</v>
      </c>
      <c r="T29" s="5">
        <f t="shared" si="12"/>
        <v>3</v>
      </c>
      <c r="U29" s="5">
        <f t="shared" si="18"/>
        <v>6</v>
      </c>
      <c r="V29" s="5" t="str">
        <f t="shared" si="13"/>
        <v>PC-77</v>
      </c>
      <c r="W29" s="5">
        <f t="shared" si="19"/>
        <v>2</v>
      </c>
      <c r="X29" s="5" t="str">
        <f t="shared" si="6"/>
        <v>2001:3:7::/112</v>
      </c>
      <c r="Y29" s="5" t="str">
        <f t="shared" si="7"/>
        <v>2001:3:7::3</v>
      </c>
      <c r="Z29" s="5">
        <v>112</v>
      </c>
      <c r="AA29" s="5" t="str">
        <f t="shared" si="8"/>
        <v>2001:3:7::1</v>
      </c>
    </row>
    <row r="30" spans="2:27" ht="16" x14ac:dyDescent="0.2">
      <c r="K30" s="2">
        <f t="shared" si="10"/>
        <v>2</v>
      </c>
      <c r="L30" s="2">
        <f t="shared" si="16"/>
        <v>6</v>
      </c>
      <c r="M30" s="2" t="str">
        <f t="shared" si="11"/>
        <v>PC-50</v>
      </c>
      <c r="N30" s="2">
        <f t="shared" si="17"/>
        <v>3</v>
      </c>
      <c r="O30" s="2" t="str">
        <f t="shared" si="3"/>
        <v>2001:2:7::/112</v>
      </c>
      <c r="P30" s="2" t="str">
        <f t="shared" si="4"/>
        <v>2001:2:7::4</v>
      </c>
      <c r="Q30" s="2">
        <v>112</v>
      </c>
      <c r="R30" s="2" t="str">
        <f t="shared" si="5"/>
        <v>2001:2:7::1</v>
      </c>
      <c r="T30" s="5">
        <f t="shared" si="12"/>
        <v>3</v>
      </c>
      <c r="U30" s="5">
        <f t="shared" si="18"/>
        <v>6</v>
      </c>
      <c r="V30" s="5" t="str">
        <f t="shared" si="13"/>
        <v>PC-78</v>
      </c>
      <c r="W30" s="5">
        <f t="shared" si="19"/>
        <v>3</v>
      </c>
      <c r="X30" s="5" t="str">
        <f t="shared" si="6"/>
        <v>2001:3:7::/112</v>
      </c>
      <c r="Y30" s="5" t="str">
        <f t="shared" si="7"/>
        <v>2001:3:7::4</v>
      </c>
      <c r="Z30" s="5">
        <v>112</v>
      </c>
      <c r="AA30" s="5" t="str">
        <f t="shared" si="8"/>
        <v>2001:3:7::1</v>
      </c>
    </row>
    <row r="31" spans="2:27" ht="16" x14ac:dyDescent="0.2">
      <c r="K31" s="2">
        <f t="shared" si="10"/>
        <v>2</v>
      </c>
      <c r="L31" s="2">
        <f t="shared" si="16"/>
        <v>6</v>
      </c>
      <c r="M31" s="2" t="str">
        <f t="shared" si="11"/>
        <v>PC-51</v>
      </c>
      <c r="N31" s="2">
        <f t="shared" si="17"/>
        <v>4</v>
      </c>
      <c r="O31" s="2" t="str">
        <f t="shared" si="3"/>
        <v>2001:2:7::/112</v>
      </c>
      <c r="P31" s="2" t="str">
        <f t="shared" si="4"/>
        <v>2001:2:7::5</v>
      </c>
      <c r="Q31" s="2">
        <v>112</v>
      </c>
      <c r="R31" s="2" t="str">
        <f t="shared" si="5"/>
        <v>2001:2:7::1</v>
      </c>
      <c r="T31" s="5">
        <f t="shared" si="12"/>
        <v>3</v>
      </c>
      <c r="U31" s="5">
        <f t="shared" si="18"/>
        <v>6</v>
      </c>
      <c r="V31" s="5" t="str">
        <f t="shared" si="13"/>
        <v>PC-79</v>
      </c>
      <c r="W31" s="5">
        <f t="shared" si="19"/>
        <v>4</v>
      </c>
      <c r="X31" s="5" t="str">
        <f t="shared" si="6"/>
        <v>2001:3:7::/112</v>
      </c>
      <c r="Y31" s="5" t="str">
        <f t="shared" si="7"/>
        <v>2001:3:7::5</v>
      </c>
      <c r="Z31" s="5">
        <v>112</v>
      </c>
      <c r="AA31" s="5" t="str">
        <f t="shared" si="8"/>
        <v>2001:3:7::1</v>
      </c>
    </row>
    <row r="32" spans="2:27" ht="16" x14ac:dyDescent="0.2">
      <c r="K32" s="2"/>
      <c r="L32" s="2"/>
      <c r="M32" s="2"/>
      <c r="N32" s="2"/>
      <c r="O32" s="2"/>
      <c r="P32" s="2"/>
      <c r="Q32" s="2"/>
      <c r="R32" s="2"/>
      <c r="T32" s="5">
        <f t="shared" si="12"/>
        <v>3</v>
      </c>
      <c r="U32" s="5">
        <f t="shared" si="18"/>
        <v>7</v>
      </c>
      <c r="V32" s="5" t="str">
        <f t="shared" si="13"/>
        <v>PC-80</v>
      </c>
      <c r="W32" s="5">
        <f t="shared" si="19"/>
        <v>1</v>
      </c>
      <c r="X32" s="5" t="str">
        <f t="shared" si="6"/>
        <v>2001:3:8::/112</v>
      </c>
      <c r="Y32" s="5" t="str">
        <f t="shared" si="7"/>
        <v>2001:3:8::2</v>
      </c>
      <c r="Z32" s="5">
        <v>112</v>
      </c>
      <c r="AA32" s="5" t="str">
        <f t="shared" si="8"/>
        <v>2001:3:8::1</v>
      </c>
    </row>
    <row r="33" spans="11:27" ht="16" x14ac:dyDescent="0.2">
      <c r="K33" s="2"/>
      <c r="L33" s="2"/>
      <c r="M33" s="2"/>
      <c r="N33" s="2"/>
      <c r="O33" s="2"/>
      <c r="P33" s="2"/>
      <c r="Q33" s="2"/>
      <c r="R33" s="2"/>
      <c r="T33" s="5">
        <f t="shared" si="12"/>
        <v>3</v>
      </c>
      <c r="U33" s="5">
        <f t="shared" si="18"/>
        <v>7</v>
      </c>
      <c r="V33" s="5" t="str">
        <f t="shared" si="13"/>
        <v>PC-81</v>
      </c>
      <c r="W33" s="5">
        <f t="shared" si="19"/>
        <v>2</v>
      </c>
      <c r="X33" s="5" t="str">
        <f t="shared" si="6"/>
        <v>2001:3:8::/112</v>
      </c>
      <c r="Y33" s="5" t="str">
        <f t="shared" si="7"/>
        <v>2001:3:8::3</v>
      </c>
      <c r="Z33" s="5">
        <v>112</v>
      </c>
      <c r="AA33" s="5" t="str">
        <f t="shared" si="8"/>
        <v>2001:3:8::1</v>
      </c>
    </row>
    <row r="34" spans="11:27" ht="16" x14ac:dyDescent="0.2">
      <c r="K34" s="2"/>
      <c r="L34" s="2"/>
      <c r="M34" s="2"/>
      <c r="N34" s="2"/>
      <c r="O34" s="2"/>
      <c r="P34" s="2"/>
      <c r="Q34" s="2"/>
      <c r="R34" s="2"/>
      <c r="T34" s="5">
        <f t="shared" si="12"/>
        <v>3</v>
      </c>
      <c r="U34" s="5">
        <f t="shared" si="18"/>
        <v>7</v>
      </c>
      <c r="V34" s="5" t="str">
        <f t="shared" si="13"/>
        <v>PC-82</v>
      </c>
      <c r="W34" s="5">
        <f t="shared" si="19"/>
        <v>3</v>
      </c>
      <c r="X34" s="5" t="str">
        <f t="shared" si="6"/>
        <v>2001:3:8::/112</v>
      </c>
      <c r="Y34" s="5" t="str">
        <f t="shared" si="7"/>
        <v>2001:3:8::4</v>
      </c>
      <c r="Z34" s="5">
        <v>112</v>
      </c>
      <c r="AA34" s="5" t="str">
        <f t="shared" si="8"/>
        <v>2001:3:8::1</v>
      </c>
    </row>
    <row r="35" spans="11:27" ht="16" x14ac:dyDescent="0.2">
      <c r="K35" s="2"/>
      <c r="L35" s="2"/>
      <c r="M35" s="2"/>
      <c r="N35" s="2"/>
      <c r="O35" s="2"/>
      <c r="P35" s="2"/>
      <c r="Q35" s="2"/>
      <c r="R35" s="2"/>
      <c r="T35" s="5">
        <f t="shared" si="12"/>
        <v>3</v>
      </c>
      <c r="U35" s="5">
        <f t="shared" si="18"/>
        <v>7</v>
      </c>
      <c r="V35" s="5" t="str">
        <f t="shared" si="13"/>
        <v>PC-83</v>
      </c>
      <c r="W35" s="5">
        <f t="shared" si="19"/>
        <v>4</v>
      </c>
      <c r="X35" s="5" t="str">
        <f t="shared" si="6"/>
        <v>2001:3:8::/112</v>
      </c>
      <c r="Y35" s="5" t="str">
        <f t="shared" si="7"/>
        <v>2001:3:8::5</v>
      </c>
      <c r="Z35" s="5">
        <v>112</v>
      </c>
      <c r="AA35" s="5" t="str">
        <f t="shared" si="8"/>
        <v>2001:3:8::1</v>
      </c>
    </row>
    <row r="36" spans="11:27" ht="16" x14ac:dyDescent="0.2">
      <c r="T36" s="5">
        <f t="shared" si="12"/>
        <v>3</v>
      </c>
      <c r="U36" s="5">
        <f t="shared" si="18"/>
        <v>8</v>
      </c>
      <c r="V36" s="5" t="str">
        <f t="shared" si="13"/>
        <v>PC-84</v>
      </c>
      <c r="W36" s="5">
        <f t="shared" si="19"/>
        <v>1</v>
      </c>
      <c r="X36" s="5" t="str">
        <f t="shared" si="6"/>
        <v>2001:3:9::/112</v>
      </c>
      <c r="Y36" s="5" t="str">
        <f t="shared" si="7"/>
        <v>2001:3:9::2</v>
      </c>
      <c r="Z36" s="5">
        <v>112</v>
      </c>
      <c r="AA36" s="5" t="str">
        <f t="shared" si="8"/>
        <v>2001:3:9::1</v>
      </c>
    </row>
    <row r="37" spans="11:27" ht="16" x14ac:dyDescent="0.2">
      <c r="T37" s="5">
        <f t="shared" si="12"/>
        <v>3</v>
      </c>
      <c r="U37" s="5">
        <f t="shared" si="18"/>
        <v>8</v>
      </c>
      <c r="V37" s="5" t="str">
        <f t="shared" si="13"/>
        <v>PC-85</v>
      </c>
      <c r="W37" s="5">
        <f t="shared" si="19"/>
        <v>2</v>
      </c>
      <c r="X37" s="5" t="str">
        <f t="shared" si="6"/>
        <v>2001:3:9::/112</v>
      </c>
      <c r="Y37" s="5" t="str">
        <f t="shared" si="7"/>
        <v>2001:3:9::3</v>
      </c>
      <c r="Z37" s="5">
        <v>112</v>
      </c>
      <c r="AA37" s="5" t="str">
        <f t="shared" si="8"/>
        <v>2001:3:9::1</v>
      </c>
    </row>
    <row r="38" spans="11:27" ht="16" x14ac:dyDescent="0.2">
      <c r="T38" s="5">
        <f t="shared" si="12"/>
        <v>3</v>
      </c>
      <c r="U38" s="5">
        <f t="shared" si="18"/>
        <v>8</v>
      </c>
      <c r="V38" s="5" t="str">
        <f t="shared" si="13"/>
        <v>PC-86</v>
      </c>
      <c r="W38" s="5">
        <f t="shared" si="19"/>
        <v>3</v>
      </c>
      <c r="X38" s="5" t="str">
        <f t="shared" si="6"/>
        <v>2001:3:9::/112</v>
      </c>
      <c r="Y38" s="5" t="str">
        <f t="shared" si="7"/>
        <v>2001:3:9::4</v>
      </c>
      <c r="Z38" s="5">
        <v>112</v>
      </c>
      <c r="AA38" s="5" t="str">
        <f t="shared" si="8"/>
        <v>2001:3:9::1</v>
      </c>
    </row>
    <row r="39" spans="11:27" ht="16" x14ac:dyDescent="0.2">
      <c r="T39" s="5">
        <f t="shared" si="12"/>
        <v>3</v>
      </c>
      <c r="U39" s="5">
        <f t="shared" si="18"/>
        <v>8</v>
      </c>
      <c r="V39" s="5" t="str">
        <f t="shared" si="13"/>
        <v>PC-87</v>
      </c>
      <c r="W39" s="5">
        <f t="shared" si="19"/>
        <v>4</v>
      </c>
      <c r="X39" s="5" t="str">
        <f t="shared" si="6"/>
        <v>2001:3:9::/112</v>
      </c>
      <c r="Y39" s="5" t="str">
        <f t="shared" si="7"/>
        <v>2001:3:9::5</v>
      </c>
      <c r="Z39" s="5">
        <v>112</v>
      </c>
      <c r="AA39" s="5" t="str">
        <f t="shared" si="8"/>
        <v>2001:3:9::1</v>
      </c>
    </row>
    <row r="40" spans="11:27" ht="16" x14ac:dyDescent="0.2">
      <c r="T40" s="5">
        <f t="shared" si="12"/>
        <v>3</v>
      </c>
      <c r="U40" s="5">
        <f t="shared" si="18"/>
        <v>9</v>
      </c>
      <c r="V40" s="5" t="str">
        <f t="shared" si="13"/>
        <v>PC-88</v>
      </c>
      <c r="W40" s="5">
        <f t="shared" si="19"/>
        <v>1</v>
      </c>
      <c r="X40" s="5" t="str">
        <f t="shared" si="6"/>
        <v>2001:3:10::/112</v>
      </c>
      <c r="Y40" s="5" t="str">
        <f t="shared" si="7"/>
        <v>2001:3:10::2</v>
      </c>
      <c r="Z40" s="5">
        <v>112</v>
      </c>
      <c r="AA40" s="5" t="str">
        <f t="shared" si="8"/>
        <v>2001:3:10::1</v>
      </c>
    </row>
    <row r="41" spans="11:27" ht="16" x14ac:dyDescent="0.2">
      <c r="T41" s="5">
        <f t="shared" si="12"/>
        <v>3</v>
      </c>
      <c r="U41" s="5">
        <f t="shared" si="18"/>
        <v>9</v>
      </c>
      <c r="V41" s="5" t="str">
        <f t="shared" si="13"/>
        <v>PC-89</v>
      </c>
      <c r="W41" s="5">
        <f t="shared" si="19"/>
        <v>2</v>
      </c>
      <c r="X41" s="5" t="str">
        <f t="shared" si="6"/>
        <v>2001:3:10::/112</v>
      </c>
      <c r="Y41" s="5" t="str">
        <f t="shared" si="7"/>
        <v>2001:3:10::3</v>
      </c>
      <c r="Z41" s="5">
        <v>112</v>
      </c>
      <c r="AA41" s="5" t="str">
        <f t="shared" si="8"/>
        <v>2001:3:10::1</v>
      </c>
    </row>
    <row r="42" spans="11:27" ht="16" x14ac:dyDescent="0.2">
      <c r="T42" s="5">
        <f t="shared" si="12"/>
        <v>3</v>
      </c>
      <c r="U42" s="5">
        <f t="shared" si="18"/>
        <v>9</v>
      </c>
      <c r="V42" s="5" t="str">
        <f t="shared" si="13"/>
        <v>PC-90</v>
      </c>
      <c r="W42" s="5">
        <f t="shared" si="19"/>
        <v>3</v>
      </c>
      <c r="X42" s="5" t="str">
        <f t="shared" si="6"/>
        <v>2001:3:10::/112</v>
      </c>
      <c r="Y42" s="5" t="str">
        <f t="shared" si="7"/>
        <v>2001:3:10::4</v>
      </c>
      <c r="Z42" s="5">
        <v>112</v>
      </c>
      <c r="AA42" s="5" t="str">
        <f t="shared" si="8"/>
        <v>2001:3:10::1</v>
      </c>
    </row>
    <row r="43" spans="11:27" ht="16" x14ac:dyDescent="0.2">
      <c r="T43" s="5">
        <f t="shared" si="12"/>
        <v>3</v>
      </c>
      <c r="U43" s="5">
        <f t="shared" si="18"/>
        <v>9</v>
      </c>
      <c r="V43" s="5" t="str">
        <f t="shared" si="13"/>
        <v>PC-91</v>
      </c>
      <c r="W43" s="5">
        <f t="shared" si="19"/>
        <v>4</v>
      </c>
      <c r="X43" s="5" t="str">
        <f t="shared" si="6"/>
        <v>2001:3:10::/112</v>
      </c>
      <c r="Y43" s="5" t="str">
        <f t="shared" si="7"/>
        <v>2001:3:10::5</v>
      </c>
      <c r="Z43" s="5">
        <v>112</v>
      </c>
      <c r="AA43" s="5" t="str">
        <f t="shared" si="8"/>
        <v>2001:3:10::1</v>
      </c>
    </row>
    <row r="44" spans="11:27" ht="16" x14ac:dyDescent="0.2">
      <c r="T44" s="5">
        <f t="shared" si="12"/>
        <v>3</v>
      </c>
      <c r="U44" s="5">
        <f t="shared" si="18"/>
        <v>10</v>
      </c>
      <c r="V44" s="5" t="str">
        <f t="shared" si="13"/>
        <v>PC-92</v>
      </c>
      <c r="W44" s="5">
        <f t="shared" si="19"/>
        <v>1</v>
      </c>
      <c r="X44" s="5" t="str">
        <f t="shared" si="6"/>
        <v>2001:3:11::/112</v>
      </c>
      <c r="Y44" s="5" t="str">
        <f t="shared" si="7"/>
        <v>2001:3:11::2</v>
      </c>
      <c r="Z44" s="5">
        <v>112</v>
      </c>
      <c r="AA44" s="5" t="str">
        <f t="shared" si="8"/>
        <v>2001:3:11::1</v>
      </c>
    </row>
    <row r="45" spans="11:27" ht="16" x14ac:dyDescent="0.2">
      <c r="T45" s="5">
        <f t="shared" si="12"/>
        <v>3</v>
      </c>
      <c r="U45" s="5">
        <f t="shared" si="18"/>
        <v>10</v>
      </c>
      <c r="V45" s="5" t="str">
        <f t="shared" si="13"/>
        <v>PC-93</v>
      </c>
      <c r="W45" s="5">
        <f t="shared" si="19"/>
        <v>2</v>
      </c>
      <c r="X45" s="5" t="str">
        <f t="shared" si="6"/>
        <v>2001:3:11::/112</v>
      </c>
      <c r="Y45" s="5" t="str">
        <f t="shared" si="7"/>
        <v>2001:3:11::3</v>
      </c>
      <c r="Z45" s="5">
        <v>112</v>
      </c>
      <c r="AA45" s="5" t="str">
        <f t="shared" si="8"/>
        <v>2001:3:11::1</v>
      </c>
    </row>
    <row r="46" spans="11:27" ht="16" x14ac:dyDescent="0.2">
      <c r="T46" s="5">
        <f t="shared" si="12"/>
        <v>3</v>
      </c>
      <c r="U46" s="5">
        <f t="shared" si="18"/>
        <v>10</v>
      </c>
      <c r="V46" s="5" t="str">
        <f t="shared" si="13"/>
        <v>PC-94</v>
      </c>
      <c r="W46" s="5">
        <f t="shared" si="19"/>
        <v>3</v>
      </c>
      <c r="X46" s="5" t="str">
        <f t="shared" si="6"/>
        <v>2001:3:11::/112</v>
      </c>
      <c r="Y46" s="5" t="str">
        <f t="shared" si="7"/>
        <v>2001:3:11::4</v>
      </c>
      <c r="Z46" s="5">
        <v>112</v>
      </c>
      <c r="AA46" s="5" t="str">
        <f t="shared" si="8"/>
        <v>2001:3:11::1</v>
      </c>
    </row>
    <row r="47" spans="11:27" ht="16" x14ac:dyDescent="0.2">
      <c r="T47" s="5">
        <f t="shared" si="12"/>
        <v>3</v>
      </c>
      <c r="U47" s="5">
        <f t="shared" si="18"/>
        <v>10</v>
      </c>
      <c r="V47" s="5" t="str">
        <f t="shared" si="13"/>
        <v>PC-95</v>
      </c>
      <c r="W47" s="5">
        <f t="shared" si="19"/>
        <v>4</v>
      </c>
      <c r="X47" s="5" t="str">
        <f t="shared" si="6"/>
        <v>2001:3:11::/112</v>
      </c>
      <c r="Y47" s="5" t="str">
        <f t="shared" si="7"/>
        <v>2001:3:11::5</v>
      </c>
      <c r="Z47" s="5">
        <v>112</v>
      </c>
      <c r="AA47" s="5" t="str">
        <f t="shared" si="8"/>
        <v>2001:3:11::1</v>
      </c>
    </row>
    <row r="48" spans="11:27" ht="16" x14ac:dyDescent="0.2">
      <c r="T48" s="5">
        <f t="shared" si="12"/>
        <v>3</v>
      </c>
      <c r="U48" s="5">
        <f t="shared" si="18"/>
        <v>11</v>
      </c>
      <c r="V48" s="5" t="str">
        <f t="shared" si="13"/>
        <v>PC-96</v>
      </c>
      <c r="W48" s="5">
        <f t="shared" si="19"/>
        <v>1</v>
      </c>
      <c r="X48" s="5" t="str">
        <f t="shared" si="6"/>
        <v>2001:3:12::/112</v>
      </c>
      <c r="Y48" s="5" t="str">
        <f t="shared" si="7"/>
        <v>2001:3:12::2</v>
      </c>
      <c r="Z48" s="5">
        <v>112</v>
      </c>
      <c r="AA48" s="5" t="str">
        <f t="shared" si="8"/>
        <v>2001:3:12::1</v>
      </c>
    </row>
    <row r="49" spans="20:27" ht="16" x14ac:dyDescent="0.2">
      <c r="T49" s="5">
        <f t="shared" si="12"/>
        <v>3</v>
      </c>
      <c r="U49" s="5">
        <f t="shared" si="18"/>
        <v>11</v>
      </c>
      <c r="V49" s="5" t="str">
        <f t="shared" si="13"/>
        <v>PC-97</v>
      </c>
      <c r="W49" s="5">
        <f t="shared" si="19"/>
        <v>2</v>
      </c>
      <c r="X49" s="5" t="str">
        <f t="shared" si="6"/>
        <v>2001:3:12::/112</v>
      </c>
      <c r="Y49" s="5" t="str">
        <f t="shared" si="7"/>
        <v>2001:3:12::3</v>
      </c>
      <c r="Z49" s="5">
        <v>112</v>
      </c>
      <c r="AA49" s="5" t="str">
        <f t="shared" si="8"/>
        <v>2001:3:12::1</v>
      </c>
    </row>
    <row r="50" spans="20:27" ht="16" x14ac:dyDescent="0.2">
      <c r="T50" s="5">
        <f t="shared" si="12"/>
        <v>3</v>
      </c>
      <c r="U50" s="5">
        <f t="shared" si="18"/>
        <v>11</v>
      </c>
      <c r="V50" s="5" t="str">
        <f t="shared" si="13"/>
        <v>PC-98</v>
      </c>
      <c r="W50" s="5">
        <f t="shared" si="19"/>
        <v>3</v>
      </c>
      <c r="X50" s="5" t="str">
        <f t="shared" si="6"/>
        <v>2001:3:12::/112</v>
      </c>
      <c r="Y50" s="5" t="str">
        <f t="shared" si="7"/>
        <v>2001:3:12::4</v>
      </c>
      <c r="Z50" s="5">
        <v>112</v>
      </c>
      <c r="AA50" s="5" t="str">
        <f t="shared" si="8"/>
        <v>2001:3:12::1</v>
      </c>
    </row>
    <row r="51" spans="20:27" ht="16" x14ac:dyDescent="0.2">
      <c r="T51" s="5">
        <f t="shared" si="12"/>
        <v>3</v>
      </c>
      <c r="U51" s="5">
        <f t="shared" si="18"/>
        <v>11</v>
      </c>
      <c r="V51" s="5" t="str">
        <f t="shared" si="13"/>
        <v>PC-99</v>
      </c>
      <c r="W51" s="5">
        <f t="shared" si="19"/>
        <v>4</v>
      </c>
      <c r="X51" s="5" t="str">
        <f t="shared" si="6"/>
        <v>2001:3:12::/112</v>
      </c>
      <c r="Y51" s="5" t="str">
        <f t="shared" si="7"/>
        <v>2001:3:12::5</v>
      </c>
      <c r="Z51" s="5">
        <v>112</v>
      </c>
      <c r="AA51" s="5" t="str">
        <f t="shared" si="8"/>
        <v>2001:3:12::1</v>
      </c>
    </row>
    <row r="52" spans="20:27" ht="16" x14ac:dyDescent="0.2">
      <c r="T52" s="5">
        <f t="shared" si="12"/>
        <v>3</v>
      </c>
      <c r="U52" s="5">
        <f t="shared" si="18"/>
        <v>12</v>
      </c>
      <c r="V52" s="5" t="str">
        <f t="shared" si="13"/>
        <v>PC-100</v>
      </c>
      <c r="W52" s="5">
        <f t="shared" si="19"/>
        <v>1</v>
      </c>
      <c r="X52" s="5" t="str">
        <f t="shared" si="6"/>
        <v>2001:3:13::/112</v>
      </c>
      <c r="Y52" s="5" t="str">
        <f t="shared" si="7"/>
        <v>2001:3:13::2</v>
      </c>
      <c r="Z52" s="5">
        <v>112</v>
      </c>
      <c r="AA52" s="5" t="str">
        <f t="shared" si="8"/>
        <v>2001:3:13::1</v>
      </c>
    </row>
    <row r="53" spans="20:27" ht="16" x14ac:dyDescent="0.2">
      <c r="T53" s="2">
        <f t="shared" si="12"/>
        <v>3</v>
      </c>
      <c r="U53" s="2">
        <f t="shared" si="18"/>
        <v>12</v>
      </c>
      <c r="V53" s="2" t="str">
        <f t="shared" si="13"/>
        <v>PC-101</v>
      </c>
      <c r="W53" s="2">
        <f t="shared" si="19"/>
        <v>2</v>
      </c>
      <c r="X53" s="2" t="str">
        <f t="shared" si="6"/>
        <v>2001:3:13::/112</v>
      </c>
      <c r="Y53" s="2" t="str">
        <f t="shared" si="7"/>
        <v>2001:3:13::3</v>
      </c>
      <c r="Z53" s="2">
        <v>112</v>
      </c>
      <c r="AA53" s="2" t="str">
        <f t="shared" si="8"/>
        <v>2001:3:13::1</v>
      </c>
    </row>
    <row r="54" spans="20:27" ht="16" x14ac:dyDescent="0.2">
      <c r="T54" s="2">
        <f t="shared" si="12"/>
        <v>3</v>
      </c>
      <c r="U54" s="2">
        <f t="shared" si="18"/>
        <v>12</v>
      </c>
      <c r="V54" s="2" t="str">
        <f t="shared" si="13"/>
        <v>PC-102</v>
      </c>
      <c r="W54" s="2">
        <f t="shared" si="19"/>
        <v>3</v>
      </c>
      <c r="X54" s="2" t="str">
        <f t="shared" si="6"/>
        <v>2001:3:13::/112</v>
      </c>
      <c r="Y54" s="2" t="str">
        <f t="shared" si="7"/>
        <v>2001:3:13::4</v>
      </c>
      <c r="Z54" s="2">
        <v>112</v>
      </c>
      <c r="AA54" s="2" t="str">
        <f t="shared" si="8"/>
        <v>2001:3:13::1</v>
      </c>
    </row>
    <row r="55" spans="20:27" ht="16" x14ac:dyDescent="0.2">
      <c r="T55" s="2">
        <f t="shared" si="12"/>
        <v>3</v>
      </c>
      <c r="U55" s="2">
        <f t="shared" si="18"/>
        <v>12</v>
      </c>
      <c r="V55" s="2" t="str">
        <f t="shared" si="13"/>
        <v>PC-103</v>
      </c>
      <c r="W55" s="2">
        <f t="shared" si="19"/>
        <v>4</v>
      </c>
      <c r="X55" s="2" t="str">
        <f t="shared" si="6"/>
        <v>2001:3:13::/112</v>
      </c>
      <c r="Y55" s="2" t="str">
        <f t="shared" si="7"/>
        <v>2001:3:13::5</v>
      </c>
      <c r="Z55" s="2">
        <v>112</v>
      </c>
      <c r="AA55" s="2" t="str">
        <f t="shared" si="8"/>
        <v>2001:3:13::1</v>
      </c>
    </row>
    <row r="56" spans="20:27" ht="16" x14ac:dyDescent="0.2">
      <c r="T56" s="2">
        <f t="shared" si="12"/>
        <v>3</v>
      </c>
      <c r="U56" s="2">
        <f t="shared" si="18"/>
        <v>13</v>
      </c>
      <c r="V56" s="2" t="str">
        <f t="shared" si="13"/>
        <v>PC-104</v>
      </c>
      <c r="W56" s="2">
        <f t="shared" si="19"/>
        <v>1</v>
      </c>
      <c r="X56" s="2" t="str">
        <f t="shared" si="6"/>
        <v>2001:3:14::/112</v>
      </c>
      <c r="Y56" s="2" t="str">
        <f t="shared" si="7"/>
        <v>2001:3:14::2</v>
      </c>
      <c r="Z56" s="2">
        <v>112</v>
      </c>
      <c r="AA56" s="2" t="str">
        <f t="shared" si="8"/>
        <v>2001:3:14::1</v>
      </c>
    </row>
    <row r="57" spans="20:27" ht="16" x14ac:dyDescent="0.2">
      <c r="T57" s="2">
        <f t="shared" si="12"/>
        <v>3</v>
      </c>
      <c r="U57" s="2">
        <f t="shared" si="18"/>
        <v>13</v>
      </c>
      <c r="V57" s="2" t="str">
        <f t="shared" si="13"/>
        <v>PC-105</v>
      </c>
      <c r="W57" s="2">
        <f t="shared" si="19"/>
        <v>2</v>
      </c>
      <c r="X57" s="2" t="str">
        <f t="shared" si="6"/>
        <v>2001:3:14::/112</v>
      </c>
      <c r="Y57" s="2" t="str">
        <f t="shared" si="7"/>
        <v>2001:3:14::3</v>
      </c>
      <c r="Z57" s="2">
        <v>112</v>
      </c>
      <c r="AA57" s="2" t="str">
        <f t="shared" si="8"/>
        <v>2001:3:14::1</v>
      </c>
    </row>
    <row r="58" spans="20:27" ht="16" x14ac:dyDescent="0.2">
      <c r="T58" s="2">
        <f t="shared" si="12"/>
        <v>3</v>
      </c>
      <c r="U58" s="2">
        <f t="shared" si="18"/>
        <v>13</v>
      </c>
      <c r="V58" s="2" t="str">
        <f t="shared" si="13"/>
        <v>PC-106</v>
      </c>
      <c r="W58" s="2">
        <f t="shared" si="19"/>
        <v>3</v>
      </c>
      <c r="X58" s="2" t="str">
        <f t="shared" si="6"/>
        <v>2001:3:14::/112</v>
      </c>
      <c r="Y58" s="2" t="str">
        <f t="shared" si="7"/>
        <v>2001:3:14::4</v>
      </c>
      <c r="Z58" s="2">
        <v>112</v>
      </c>
      <c r="AA58" s="2" t="str">
        <f t="shared" si="8"/>
        <v>2001:3:14::1</v>
      </c>
    </row>
    <row r="59" spans="20:27" ht="16" x14ac:dyDescent="0.2">
      <c r="T59" s="2">
        <f t="shared" si="12"/>
        <v>3</v>
      </c>
      <c r="U59" s="2">
        <f t="shared" si="18"/>
        <v>13</v>
      </c>
      <c r="V59" s="2" t="str">
        <f t="shared" si="13"/>
        <v>PC-107</v>
      </c>
      <c r="W59" s="2">
        <f t="shared" si="19"/>
        <v>4</v>
      </c>
      <c r="X59" s="2" t="str">
        <f t="shared" si="6"/>
        <v>2001:3:14::/112</v>
      </c>
      <c r="Y59" s="2" t="str">
        <f t="shared" si="7"/>
        <v>2001:3:14::5</v>
      </c>
      <c r="Z59" s="2">
        <v>112</v>
      </c>
      <c r="AA59" s="2" t="str">
        <f t="shared" si="8"/>
        <v>2001:3:14::1</v>
      </c>
    </row>
    <row r="60" spans="20:27" ht="16" x14ac:dyDescent="0.2">
      <c r="T60" s="2">
        <f t="shared" si="12"/>
        <v>3</v>
      </c>
      <c r="U60" s="2">
        <f t="shared" si="18"/>
        <v>14</v>
      </c>
      <c r="V60" s="2" t="str">
        <f t="shared" si="13"/>
        <v>PC-108</v>
      </c>
      <c r="W60" s="2">
        <f t="shared" si="19"/>
        <v>1</v>
      </c>
      <c r="X60" s="2" t="str">
        <f t="shared" si="6"/>
        <v>2001:3:15::/112</v>
      </c>
      <c r="Y60" s="2" t="str">
        <f t="shared" si="7"/>
        <v>2001:3:15::2</v>
      </c>
      <c r="Z60" s="2">
        <v>112</v>
      </c>
      <c r="AA60" s="2" t="str">
        <f t="shared" si="8"/>
        <v>2001:3:15::1</v>
      </c>
    </row>
    <row r="61" spans="20:27" ht="16" x14ac:dyDescent="0.2">
      <c r="T61" s="2">
        <f t="shared" si="12"/>
        <v>3</v>
      </c>
      <c r="U61" s="2">
        <f t="shared" si="18"/>
        <v>14</v>
      </c>
      <c r="V61" s="2" t="str">
        <f t="shared" si="13"/>
        <v>PC-109</v>
      </c>
      <c r="W61" s="2">
        <f t="shared" si="19"/>
        <v>2</v>
      </c>
      <c r="X61" s="2" t="str">
        <f t="shared" si="6"/>
        <v>2001:3:15::/112</v>
      </c>
      <c r="Y61" s="2" t="str">
        <f t="shared" si="7"/>
        <v>2001:3:15::3</v>
      </c>
      <c r="Z61" s="2">
        <v>112</v>
      </c>
      <c r="AA61" s="2" t="str">
        <f t="shared" si="8"/>
        <v>2001:3:15::1</v>
      </c>
    </row>
    <row r="62" spans="20:27" ht="16" x14ac:dyDescent="0.2">
      <c r="T62" s="2">
        <f t="shared" si="12"/>
        <v>3</v>
      </c>
      <c r="U62" s="2">
        <f t="shared" si="18"/>
        <v>14</v>
      </c>
      <c r="V62" s="2" t="str">
        <f t="shared" si="13"/>
        <v>PC-110</v>
      </c>
      <c r="W62" s="2">
        <f t="shared" si="19"/>
        <v>3</v>
      </c>
      <c r="X62" s="2" t="str">
        <f t="shared" si="6"/>
        <v>2001:3:15::/112</v>
      </c>
      <c r="Y62" s="2" t="str">
        <f t="shared" si="7"/>
        <v>2001:3:15::4</v>
      </c>
      <c r="Z62" s="2">
        <v>112</v>
      </c>
      <c r="AA62" s="2" t="str">
        <f t="shared" si="8"/>
        <v>2001:3:15::1</v>
      </c>
    </row>
    <row r="63" spans="20:27" ht="16" x14ac:dyDescent="0.2">
      <c r="T63" s="2">
        <f t="shared" si="12"/>
        <v>3</v>
      </c>
      <c r="U63" s="2">
        <f t="shared" si="18"/>
        <v>14</v>
      </c>
      <c r="V63" s="2" t="str">
        <f t="shared" si="13"/>
        <v>PC-111</v>
      </c>
      <c r="W63" s="2">
        <f t="shared" si="19"/>
        <v>4</v>
      </c>
      <c r="X63" s="2" t="str">
        <f t="shared" si="6"/>
        <v>2001:3:15::/112</v>
      </c>
      <c r="Y63" s="2" t="str">
        <f t="shared" si="7"/>
        <v>2001:3:15::5</v>
      </c>
      <c r="Z63" s="2">
        <v>112</v>
      </c>
      <c r="AA63" s="2" t="str">
        <f t="shared" si="8"/>
        <v>2001:3:15::1</v>
      </c>
    </row>
    <row r="64" spans="20:27" ht="16" x14ac:dyDescent="0.2">
      <c r="T64" s="2">
        <f t="shared" si="12"/>
        <v>3</v>
      </c>
      <c r="U64" s="2">
        <f t="shared" si="18"/>
        <v>15</v>
      </c>
      <c r="V64" s="2" t="str">
        <f t="shared" si="13"/>
        <v>PC-112</v>
      </c>
      <c r="W64" s="2">
        <f t="shared" si="19"/>
        <v>1</v>
      </c>
      <c r="X64" s="2" t="str">
        <f t="shared" si="6"/>
        <v>2001:3:16::/112</v>
      </c>
      <c r="Y64" s="2" t="str">
        <f t="shared" si="7"/>
        <v>2001:3:16::2</v>
      </c>
      <c r="Z64" s="2">
        <v>112</v>
      </c>
      <c r="AA64" s="2" t="str">
        <f t="shared" si="8"/>
        <v>2001:3:16::1</v>
      </c>
    </row>
    <row r="65" spans="20:27" ht="16" x14ac:dyDescent="0.2">
      <c r="T65" s="2">
        <f t="shared" si="12"/>
        <v>3</v>
      </c>
      <c r="U65" s="2">
        <f t="shared" si="18"/>
        <v>15</v>
      </c>
      <c r="V65" s="2" t="str">
        <f t="shared" si="13"/>
        <v>PC-113</v>
      </c>
      <c r="W65" s="2">
        <f t="shared" si="19"/>
        <v>2</v>
      </c>
      <c r="X65" s="2" t="str">
        <f t="shared" si="6"/>
        <v>2001:3:16::/112</v>
      </c>
      <c r="Y65" s="2" t="str">
        <f t="shared" si="7"/>
        <v>2001:3:16::3</v>
      </c>
      <c r="Z65" s="2">
        <v>112</v>
      </c>
      <c r="AA65" s="2" t="str">
        <f t="shared" si="8"/>
        <v>2001:3:16::1</v>
      </c>
    </row>
    <row r="66" spans="20:27" ht="16" x14ac:dyDescent="0.2">
      <c r="T66" s="2">
        <f t="shared" si="12"/>
        <v>3</v>
      </c>
      <c r="U66" s="2">
        <f t="shared" si="18"/>
        <v>15</v>
      </c>
      <c r="V66" s="2" t="str">
        <f t="shared" si="13"/>
        <v>PC-114</v>
      </c>
      <c r="W66" s="2">
        <f t="shared" si="19"/>
        <v>3</v>
      </c>
      <c r="X66" s="2" t="str">
        <f t="shared" si="6"/>
        <v>2001:3:16::/112</v>
      </c>
      <c r="Y66" s="2" t="str">
        <f t="shared" si="7"/>
        <v>2001:3:16::4</v>
      </c>
      <c r="Z66" s="2">
        <v>112</v>
      </c>
      <c r="AA66" s="2" t="str">
        <f t="shared" si="8"/>
        <v>2001:3:16::1</v>
      </c>
    </row>
    <row r="67" spans="20:27" ht="16" x14ac:dyDescent="0.2">
      <c r="T67" s="2">
        <f t="shared" si="12"/>
        <v>3</v>
      </c>
      <c r="U67" s="2">
        <f t="shared" si="18"/>
        <v>15</v>
      </c>
      <c r="V67" s="2" t="str">
        <f t="shared" si="13"/>
        <v>PC-115</v>
      </c>
      <c r="W67" s="2">
        <f t="shared" si="19"/>
        <v>4</v>
      </c>
      <c r="X67" s="2" t="str">
        <f t="shared" si="6"/>
        <v>2001:3:16::/112</v>
      </c>
      <c r="Y67" s="2" t="str">
        <f t="shared" si="7"/>
        <v>2001:3:16::5</v>
      </c>
      <c r="Z67" s="2">
        <v>112</v>
      </c>
      <c r="AA67" s="2" t="str">
        <f t="shared" si="8"/>
        <v>2001:3:16::1</v>
      </c>
    </row>
    <row r="68" spans="20:27" ht="16" x14ac:dyDescent="0.2">
      <c r="T68" s="2">
        <f t="shared" si="12"/>
        <v>3</v>
      </c>
      <c r="U68" s="2">
        <f t="shared" si="18"/>
        <v>16</v>
      </c>
      <c r="V68" s="2" t="str">
        <f t="shared" si="13"/>
        <v>PC-116</v>
      </c>
      <c r="W68" s="2">
        <f t="shared" si="19"/>
        <v>1</v>
      </c>
      <c r="X68" s="2" t="str">
        <f t="shared" si="6"/>
        <v>2001:3:17::/112</v>
      </c>
      <c r="Y68" s="2" t="str">
        <f t="shared" si="7"/>
        <v>2001:3:17::2</v>
      </c>
      <c r="Z68" s="2">
        <v>112</v>
      </c>
      <c r="AA68" s="2" t="str">
        <f t="shared" si="8"/>
        <v>2001:3:17::1</v>
      </c>
    </row>
    <row r="69" spans="20:27" ht="16" x14ac:dyDescent="0.2">
      <c r="T69" s="2">
        <f t="shared" si="12"/>
        <v>3</v>
      </c>
      <c r="U69" s="2">
        <f t="shared" si="18"/>
        <v>16</v>
      </c>
      <c r="V69" s="2" t="str">
        <f t="shared" si="13"/>
        <v>PC-117</v>
      </c>
      <c r="W69" s="2">
        <f t="shared" si="19"/>
        <v>2</v>
      </c>
      <c r="X69" s="2" t="str">
        <f t="shared" ref="X69:X87" si="20">_xlfn.CONCAT("2001:",T69,":",U69 + 1,"::/112")</f>
        <v>2001:3:17::/112</v>
      </c>
      <c r="Y69" s="2" t="str">
        <f t="shared" ref="Y69:Y87" si="21">_xlfn.CONCAT("2001:",T69,":",U69+1,"::",W69 + 1)</f>
        <v>2001:3:17::3</v>
      </c>
      <c r="Z69" s="2">
        <v>112</v>
      </c>
      <c r="AA69" s="2" t="str">
        <f t="shared" ref="AA69:AA87" si="22">_xlfn.CONCAT("2001:",T69,":",U69+1,"::1")</f>
        <v>2001:3:17::1</v>
      </c>
    </row>
    <row r="70" spans="20:27" ht="16" x14ac:dyDescent="0.2">
      <c r="T70" s="2">
        <f t="shared" ref="T70:T87" si="23">T69</f>
        <v>3</v>
      </c>
      <c r="U70" s="2">
        <f t="shared" si="18"/>
        <v>16</v>
      </c>
      <c r="V70" s="2" t="str">
        <f t="shared" ref="V70:V87" si="24">_xlfn.CONCAT("PC-",MID(V69,FIND("-",V69)+ 1, LEN(V69))+1)</f>
        <v>PC-118</v>
      </c>
      <c r="W70" s="2">
        <f t="shared" si="19"/>
        <v>3</v>
      </c>
      <c r="X70" s="2" t="str">
        <f t="shared" si="20"/>
        <v>2001:3:17::/112</v>
      </c>
      <c r="Y70" s="2" t="str">
        <f t="shared" si="21"/>
        <v>2001:3:17::4</v>
      </c>
      <c r="Z70" s="2">
        <v>112</v>
      </c>
      <c r="AA70" s="2" t="str">
        <f t="shared" si="22"/>
        <v>2001:3:17::1</v>
      </c>
    </row>
    <row r="71" spans="20:27" ht="16" x14ac:dyDescent="0.2">
      <c r="T71" s="2">
        <f t="shared" si="23"/>
        <v>3</v>
      </c>
      <c r="U71" s="2">
        <f t="shared" si="18"/>
        <v>16</v>
      </c>
      <c r="V71" s="2" t="str">
        <f t="shared" si="24"/>
        <v>PC-119</v>
      </c>
      <c r="W71" s="2">
        <f t="shared" si="19"/>
        <v>4</v>
      </c>
      <c r="X71" s="2" t="str">
        <f t="shared" si="20"/>
        <v>2001:3:17::/112</v>
      </c>
      <c r="Y71" s="2" t="str">
        <f t="shared" si="21"/>
        <v>2001:3:17::5</v>
      </c>
      <c r="Z71" s="2">
        <v>112</v>
      </c>
      <c r="AA71" s="2" t="str">
        <f t="shared" si="22"/>
        <v>2001:3:17::1</v>
      </c>
    </row>
    <row r="72" spans="20:27" ht="16" x14ac:dyDescent="0.2">
      <c r="T72" s="2">
        <f t="shared" si="23"/>
        <v>3</v>
      </c>
      <c r="U72" s="2">
        <f t="shared" si="18"/>
        <v>17</v>
      </c>
      <c r="V72" s="2" t="str">
        <f t="shared" si="24"/>
        <v>PC-120</v>
      </c>
      <c r="W72" s="2">
        <f t="shared" si="19"/>
        <v>1</v>
      </c>
      <c r="X72" s="2" t="str">
        <f t="shared" si="20"/>
        <v>2001:3:18::/112</v>
      </c>
      <c r="Y72" s="2" t="str">
        <f t="shared" si="21"/>
        <v>2001:3:18::2</v>
      </c>
      <c r="Z72" s="2">
        <v>112</v>
      </c>
      <c r="AA72" s="2" t="str">
        <f t="shared" si="22"/>
        <v>2001:3:18::1</v>
      </c>
    </row>
    <row r="73" spans="20:27" ht="16" x14ac:dyDescent="0.2">
      <c r="T73" s="2">
        <f t="shared" si="23"/>
        <v>3</v>
      </c>
      <c r="U73" s="2">
        <f t="shared" ref="U73:U87" si="25">U69+1</f>
        <v>17</v>
      </c>
      <c r="V73" s="2" t="str">
        <f t="shared" si="24"/>
        <v>PC-121</v>
      </c>
      <c r="W73" s="2">
        <f t="shared" ref="W73:W87" si="26">W69</f>
        <v>2</v>
      </c>
      <c r="X73" s="2" t="str">
        <f t="shared" si="20"/>
        <v>2001:3:18::/112</v>
      </c>
      <c r="Y73" s="2" t="str">
        <f t="shared" si="21"/>
        <v>2001:3:18::3</v>
      </c>
      <c r="Z73" s="2">
        <v>112</v>
      </c>
      <c r="AA73" s="2" t="str">
        <f t="shared" si="22"/>
        <v>2001:3:18::1</v>
      </c>
    </row>
    <row r="74" spans="20:27" ht="16" x14ac:dyDescent="0.2">
      <c r="T74" s="2">
        <f t="shared" si="23"/>
        <v>3</v>
      </c>
      <c r="U74" s="2">
        <f t="shared" si="25"/>
        <v>17</v>
      </c>
      <c r="V74" s="2" t="str">
        <f t="shared" si="24"/>
        <v>PC-122</v>
      </c>
      <c r="W74" s="2">
        <f t="shared" si="26"/>
        <v>3</v>
      </c>
      <c r="X74" s="2" t="str">
        <f t="shared" si="20"/>
        <v>2001:3:18::/112</v>
      </c>
      <c r="Y74" s="2" t="str">
        <f t="shared" si="21"/>
        <v>2001:3:18::4</v>
      </c>
      <c r="Z74" s="2">
        <v>112</v>
      </c>
      <c r="AA74" s="2" t="str">
        <f t="shared" si="22"/>
        <v>2001:3:18::1</v>
      </c>
    </row>
    <row r="75" spans="20:27" ht="16" x14ac:dyDescent="0.2">
      <c r="T75" s="2">
        <f t="shared" si="23"/>
        <v>3</v>
      </c>
      <c r="U75" s="2">
        <f t="shared" si="25"/>
        <v>17</v>
      </c>
      <c r="V75" s="2" t="str">
        <f t="shared" si="24"/>
        <v>PC-123</v>
      </c>
      <c r="W75" s="2">
        <f t="shared" si="26"/>
        <v>4</v>
      </c>
      <c r="X75" s="2" t="str">
        <f t="shared" si="20"/>
        <v>2001:3:18::/112</v>
      </c>
      <c r="Y75" s="2" t="str">
        <f t="shared" si="21"/>
        <v>2001:3:18::5</v>
      </c>
      <c r="Z75" s="2">
        <v>112</v>
      </c>
      <c r="AA75" s="2" t="str">
        <f t="shared" si="22"/>
        <v>2001:3:18::1</v>
      </c>
    </row>
    <row r="76" spans="20:27" ht="16" x14ac:dyDescent="0.2">
      <c r="T76" s="2">
        <f t="shared" si="23"/>
        <v>3</v>
      </c>
      <c r="U76" s="2">
        <f t="shared" si="25"/>
        <v>18</v>
      </c>
      <c r="V76" s="2" t="str">
        <f t="shared" si="24"/>
        <v>PC-124</v>
      </c>
      <c r="W76" s="2">
        <f t="shared" si="26"/>
        <v>1</v>
      </c>
      <c r="X76" s="2" t="str">
        <f t="shared" si="20"/>
        <v>2001:3:19::/112</v>
      </c>
      <c r="Y76" s="2" t="str">
        <f t="shared" si="21"/>
        <v>2001:3:19::2</v>
      </c>
      <c r="Z76" s="2">
        <v>112</v>
      </c>
      <c r="AA76" s="2" t="str">
        <f t="shared" si="22"/>
        <v>2001:3:19::1</v>
      </c>
    </row>
    <row r="77" spans="20:27" ht="16" x14ac:dyDescent="0.2">
      <c r="T77" s="2">
        <f t="shared" si="23"/>
        <v>3</v>
      </c>
      <c r="U77" s="2">
        <f t="shared" si="25"/>
        <v>18</v>
      </c>
      <c r="V77" s="2" t="str">
        <f t="shared" si="24"/>
        <v>PC-125</v>
      </c>
      <c r="W77" s="2">
        <f t="shared" si="26"/>
        <v>2</v>
      </c>
      <c r="X77" s="2" t="str">
        <f t="shared" si="20"/>
        <v>2001:3:19::/112</v>
      </c>
      <c r="Y77" s="2" t="str">
        <f t="shared" si="21"/>
        <v>2001:3:19::3</v>
      </c>
      <c r="Z77" s="2">
        <v>112</v>
      </c>
      <c r="AA77" s="2" t="str">
        <f t="shared" si="22"/>
        <v>2001:3:19::1</v>
      </c>
    </row>
    <row r="78" spans="20:27" ht="16" x14ac:dyDescent="0.2">
      <c r="T78" s="2">
        <f t="shared" si="23"/>
        <v>3</v>
      </c>
      <c r="U78" s="2">
        <f t="shared" si="25"/>
        <v>18</v>
      </c>
      <c r="V78" s="2" t="str">
        <f t="shared" si="24"/>
        <v>PC-126</v>
      </c>
      <c r="W78" s="2">
        <f t="shared" si="26"/>
        <v>3</v>
      </c>
      <c r="X78" s="2" t="str">
        <f t="shared" si="20"/>
        <v>2001:3:19::/112</v>
      </c>
      <c r="Y78" s="2" t="str">
        <f t="shared" si="21"/>
        <v>2001:3:19::4</v>
      </c>
      <c r="Z78" s="2">
        <v>112</v>
      </c>
      <c r="AA78" s="2" t="str">
        <f t="shared" si="22"/>
        <v>2001:3:19::1</v>
      </c>
    </row>
    <row r="79" spans="20:27" ht="16" x14ac:dyDescent="0.2">
      <c r="T79" s="2">
        <f t="shared" si="23"/>
        <v>3</v>
      </c>
      <c r="U79" s="2">
        <f t="shared" si="25"/>
        <v>18</v>
      </c>
      <c r="V79" s="2" t="str">
        <f t="shared" si="24"/>
        <v>PC-127</v>
      </c>
      <c r="W79" s="2">
        <f t="shared" si="26"/>
        <v>4</v>
      </c>
      <c r="X79" s="2" t="str">
        <f t="shared" si="20"/>
        <v>2001:3:19::/112</v>
      </c>
      <c r="Y79" s="2" t="str">
        <f t="shared" si="21"/>
        <v>2001:3:19::5</v>
      </c>
      <c r="Z79" s="2">
        <v>112</v>
      </c>
      <c r="AA79" s="2" t="str">
        <f t="shared" si="22"/>
        <v>2001:3:19::1</v>
      </c>
    </row>
    <row r="80" spans="20:27" ht="16" x14ac:dyDescent="0.2">
      <c r="T80" s="2">
        <f t="shared" si="23"/>
        <v>3</v>
      </c>
      <c r="U80" s="2">
        <f t="shared" si="25"/>
        <v>19</v>
      </c>
      <c r="V80" s="2" t="str">
        <f t="shared" si="24"/>
        <v>PC-128</v>
      </c>
      <c r="W80" s="2">
        <f t="shared" si="26"/>
        <v>1</v>
      </c>
      <c r="X80" s="2" t="str">
        <f t="shared" si="20"/>
        <v>2001:3:20::/112</v>
      </c>
      <c r="Y80" s="2" t="str">
        <f t="shared" si="21"/>
        <v>2001:3:20::2</v>
      </c>
      <c r="Z80" s="2">
        <v>112</v>
      </c>
      <c r="AA80" s="2" t="str">
        <f t="shared" si="22"/>
        <v>2001:3:20::1</v>
      </c>
    </row>
    <row r="81" spans="20:27" ht="16" x14ac:dyDescent="0.2">
      <c r="T81" s="2">
        <f t="shared" si="23"/>
        <v>3</v>
      </c>
      <c r="U81" s="2">
        <f t="shared" si="25"/>
        <v>19</v>
      </c>
      <c r="V81" s="2" t="str">
        <f t="shared" si="24"/>
        <v>PC-129</v>
      </c>
      <c r="W81" s="2">
        <f t="shared" si="26"/>
        <v>2</v>
      </c>
      <c r="X81" s="2" t="str">
        <f t="shared" si="20"/>
        <v>2001:3:20::/112</v>
      </c>
      <c r="Y81" s="2" t="str">
        <f t="shared" si="21"/>
        <v>2001:3:20::3</v>
      </c>
      <c r="Z81" s="2">
        <v>112</v>
      </c>
      <c r="AA81" s="2" t="str">
        <f t="shared" si="22"/>
        <v>2001:3:20::1</v>
      </c>
    </row>
    <row r="82" spans="20:27" ht="16" x14ac:dyDescent="0.2">
      <c r="T82" s="2">
        <f t="shared" si="23"/>
        <v>3</v>
      </c>
      <c r="U82" s="2">
        <f t="shared" si="25"/>
        <v>19</v>
      </c>
      <c r="V82" s="2" t="str">
        <f t="shared" si="24"/>
        <v>PC-130</v>
      </c>
      <c r="W82" s="2">
        <f t="shared" si="26"/>
        <v>3</v>
      </c>
      <c r="X82" s="2" t="str">
        <f t="shared" si="20"/>
        <v>2001:3:20::/112</v>
      </c>
      <c r="Y82" s="2" t="str">
        <f t="shared" si="21"/>
        <v>2001:3:20::4</v>
      </c>
      <c r="Z82" s="2">
        <v>112</v>
      </c>
      <c r="AA82" s="2" t="str">
        <f t="shared" si="22"/>
        <v>2001:3:20::1</v>
      </c>
    </row>
    <row r="83" spans="20:27" ht="16" x14ac:dyDescent="0.2">
      <c r="T83" s="2">
        <f t="shared" si="23"/>
        <v>3</v>
      </c>
      <c r="U83" s="2">
        <f t="shared" si="25"/>
        <v>19</v>
      </c>
      <c r="V83" s="2" t="str">
        <f t="shared" si="24"/>
        <v>PC-131</v>
      </c>
      <c r="W83" s="2">
        <f t="shared" si="26"/>
        <v>4</v>
      </c>
      <c r="X83" s="2" t="str">
        <f t="shared" si="20"/>
        <v>2001:3:20::/112</v>
      </c>
      <c r="Y83" s="2" t="str">
        <f t="shared" si="21"/>
        <v>2001:3:20::5</v>
      </c>
      <c r="Z83" s="2">
        <v>112</v>
      </c>
      <c r="AA83" s="2" t="str">
        <f t="shared" si="22"/>
        <v>2001:3:20::1</v>
      </c>
    </row>
    <row r="84" spans="20:27" ht="16" x14ac:dyDescent="0.2">
      <c r="T84" s="2">
        <f t="shared" si="23"/>
        <v>3</v>
      </c>
      <c r="U84" s="2">
        <f t="shared" si="25"/>
        <v>20</v>
      </c>
      <c r="V84" s="2" t="str">
        <f t="shared" si="24"/>
        <v>PC-132</v>
      </c>
      <c r="W84" s="2">
        <f t="shared" si="26"/>
        <v>1</v>
      </c>
      <c r="X84" s="2" t="str">
        <f t="shared" si="20"/>
        <v>2001:3:21::/112</v>
      </c>
      <c r="Y84" s="2" t="str">
        <f t="shared" si="21"/>
        <v>2001:3:21::2</v>
      </c>
      <c r="Z84" s="2">
        <v>112</v>
      </c>
      <c r="AA84" s="2" t="str">
        <f t="shared" si="22"/>
        <v>2001:3:21::1</v>
      </c>
    </row>
    <row r="85" spans="20:27" ht="16" x14ac:dyDescent="0.2">
      <c r="T85" s="2">
        <f t="shared" si="23"/>
        <v>3</v>
      </c>
      <c r="U85" s="2">
        <f t="shared" si="25"/>
        <v>20</v>
      </c>
      <c r="V85" s="2" t="str">
        <f t="shared" si="24"/>
        <v>PC-133</v>
      </c>
      <c r="W85" s="2">
        <f t="shared" si="26"/>
        <v>2</v>
      </c>
      <c r="X85" s="2" t="str">
        <f t="shared" si="20"/>
        <v>2001:3:21::/112</v>
      </c>
      <c r="Y85" s="2" t="str">
        <f t="shared" si="21"/>
        <v>2001:3:21::3</v>
      </c>
      <c r="Z85" s="2">
        <v>112</v>
      </c>
      <c r="AA85" s="2" t="str">
        <f t="shared" si="22"/>
        <v>2001:3:21::1</v>
      </c>
    </row>
    <row r="86" spans="20:27" ht="16" x14ac:dyDescent="0.2">
      <c r="T86" s="2">
        <f t="shared" si="23"/>
        <v>3</v>
      </c>
      <c r="U86" s="2">
        <f t="shared" si="25"/>
        <v>20</v>
      </c>
      <c r="V86" s="2" t="str">
        <f t="shared" si="24"/>
        <v>PC-134</v>
      </c>
      <c r="W86" s="2">
        <f t="shared" si="26"/>
        <v>3</v>
      </c>
      <c r="X86" s="2" t="str">
        <f t="shared" si="20"/>
        <v>2001:3:21::/112</v>
      </c>
      <c r="Y86" s="2" t="str">
        <f t="shared" si="21"/>
        <v>2001:3:21::4</v>
      </c>
      <c r="Z86" s="2">
        <v>112</v>
      </c>
      <c r="AA86" s="2" t="str">
        <f t="shared" si="22"/>
        <v>2001:3:21::1</v>
      </c>
    </row>
    <row r="87" spans="20:27" ht="16" x14ac:dyDescent="0.2">
      <c r="T87" s="2">
        <f t="shared" si="23"/>
        <v>3</v>
      </c>
      <c r="U87" s="2">
        <f t="shared" si="25"/>
        <v>20</v>
      </c>
      <c r="V87" s="2" t="str">
        <f t="shared" si="24"/>
        <v>PC-135</v>
      </c>
      <c r="W87" s="2">
        <f t="shared" si="26"/>
        <v>4</v>
      </c>
      <c r="X87" s="2" t="str">
        <f t="shared" si="20"/>
        <v>2001:3:21::/112</v>
      </c>
      <c r="Y87" s="2" t="str">
        <f t="shared" si="21"/>
        <v>2001:3:21::5</v>
      </c>
      <c r="Z87" s="2">
        <v>112</v>
      </c>
      <c r="AA87" s="2" t="str">
        <f t="shared" si="22"/>
        <v>2001:3:21::1</v>
      </c>
    </row>
    <row r="88" spans="20:27" ht="16" x14ac:dyDescent="0.2">
      <c r="U88" s="2"/>
    </row>
    <row r="89" spans="20:27" ht="16" x14ac:dyDescent="0.2">
      <c r="U89" s="2"/>
    </row>
    <row r="90" spans="20:27" ht="16" x14ac:dyDescent="0.2">
      <c r="U90" s="2"/>
    </row>
    <row r="91" spans="20:27" ht="16" x14ac:dyDescent="0.2">
      <c r="U91" s="2"/>
    </row>
    <row r="92" spans="20:27" ht="16" x14ac:dyDescent="0.2">
      <c r="U92" s="2"/>
    </row>
    <row r="93" spans="20:27" ht="16" x14ac:dyDescent="0.2">
      <c r="U93" s="2"/>
    </row>
    <row r="94" spans="20:27" ht="16" x14ac:dyDescent="0.2">
      <c r="U94" s="2"/>
    </row>
    <row r="95" spans="20:27" ht="16" x14ac:dyDescent="0.2">
      <c r="U95" s="2"/>
    </row>
    <row r="96" spans="20:27" ht="16" x14ac:dyDescent="0.2">
      <c r="U96" s="2"/>
    </row>
    <row r="97" spans="21:21" ht="16" x14ac:dyDescent="0.2">
      <c r="U97" s="2"/>
    </row>
    <row r="98" spans="21:21" ht="16" x14ac:dyDescent="0.2">
      <c r="U98" s="2"/>
    </row>
    <row r="99" spans="21:21" ht="16" x14ac:dyDescent="0.2">
      <c r="U99" s="2"/>
    </row>
    <row r="100" spans="21:21" ht="16" x14ac:dyDescent="0.2">
      <c r="U100" s="2"/>
    </row>
    <row r="101" spans="21:21" ht="16" x14ac:dyDescent="0.2">
      <c r="U101" s="2"/>
    </row>
    <row r="102" spans="21:21" ht="16" x14ac:dyDescent="0.2">
      <c r="U102" s="2"/>
    </row>
    <row r="103" spans="21:21" ht="16" x14ac:dyDescent="0.2">
      <c r="U103" s="2"/>
    </row>
    <row r="104" spans="21:21" ht="16" x14ac:dyDescent="0.2">
      <c r="U104" s="2"/>
    </row>
    <row r="105" spans="21:21" ht="16" x14ac:dyDescent="0.2">
      <c r="U105" s="2"/>
    </row>
    <row r="106" spans="21:21" ht="16" x14ac:dyDescent="0.2">
      <c r="U106" s="2"/>
    </row>
    <row r="107" spans="21:21" ht="16" x14ac:dyDescent="0.2">
      <c r="U107" s="2"/>
    </row>
    <row r="108" spans="21:21" ht="16" x14ac:dyDescent="0.2">
      <c r="U108" s="2"/>
    </row>
    <row r="109" spans="21:21" ht="16" x14ac:dyDescent="0.2">
      <c r="U109" s="2"/>
    </row>
    <row r="110" spans="21:21" ht="16" x14ac:dyDescent="0.2">
      <c r="U110" s="2"/>
    </row>
    <row r="111" spans="21:21" ht="16" x14ac:dyDescent="0.2">
      <c r="U111" s="2"/>
    </row>
    <row r="112" spans="21:21" ht="16" x14ac:dyDescent="0.2">
      <c r="U112" s="2"/>
    </row>
    <row r="113" spans="21:21" ht="16" x14ac:dyDescent="0.2">
      <c r="U113" s="2"/>
    </row>
    <row r="114" spans="21:21" ht="16" x14ac:dyDescent="0.2">
      <c r="U114" s="2"/>
    </row>
    <row r="115" spans="21:21" ht="16" x14ac:dyDescent="0.2">
      <c r="U115" s="2"/>
    </row>
    <row r="116" spans="21:21" ht="16" x14ac:dyDescent="0.2">
      <c r="U116" s="2"/>
    </row>
    <row r="117" spans="21:21" ht="16" x14ac:dyDescent="0.2">
      <c r="U117" s="2"/>
    </row>
    <row r="118" spans="21:21" ht="16" x14ac:dyDescent="0.2">
      <c r="U118" s="2"/>
    </row>
    <row r="119" spans="21:21" ht="16" x14ac:dyDescent="0.2">
      <c r="U119" s="2"/>
    </row>
    <row r="120" spans="21:21" ht="16" x14ac:dyDescent="0.2">
      <c r="U120" s="2"/>
    </row>
    <row r="121" spans="21:21" ht="16" x14ac:dyDescent="0.2">
      <c r="U121" s="2"/>
    </row>
    <row r="122" spans="21:21" ht="16" x14ac:dyDescent="0.2">
      <c r="U122" s="2"/>
    </row>
    <row r="123" spans="21:21" ht="16" x14ac:dyDescent="0.2">
      <c r="U123" s="2"/>
    </row>
    <row r="124" spans="21:21" ht="16" x14ac:dyDescent="0.2">
      <c r="U124" s="2"/>
    </row>
    <row r="125" spans="21:21" ht="16" x14ac:dyDescent="0.2">
      <c r="U125" s="2"/>
    </row>
    <row r="126" spans="21:21" ht="16" x14ac:dyDescent="0.2">
      <c r="U126" s="2"/>
    </row>
    <row r="127" spans="21:21" ht="16" x14ac:dyDescent="0.2">
      <c r="U127" s="2"/>
    </row>
  </sheetData>
  <mergeCells count="3">
    <mergeCell ref="B2:I2"/>
    <mergeCell ref="K2:R2"/>
    <mergeCell ref="T2:A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ipv4</vt:lpstr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Microsoft Office User</cp:lastModifiedBy>
  <dcterms:created xsi:type="dcterms:W3CDTF">2019-10-18T00:01:54Z</dcterms:created>
  <dcterms:modified xsi:type="dcterms:W3CDTF">2019-10-29T21:11:31Z</dcterms:modified>
</cp:coreProperties>
</file>